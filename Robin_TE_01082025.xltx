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50380788\Documents\Custom Office Templates\"/>
    </mc:Choice>
  </mc:AlternateContent>
  <xr:revisionPtr revIDLastSave="0" documentId="8_{BAED278E-BF89-4543-AAB0-E01293A40AC1}" xr6:coauthVersionLast="47" xr6:coauthVersionMax="47" xr10:uidLastSave="{00000000-0000-0000-0000-000000000000}"/>
  <bookViews>
    <workbookView xWindow="-120" yWindow="-120" windowWidth="29040" windowHeight="15720" tabRatio="476" xr2:uid="{9CD9153C-7A3C-4AF8-9448-0498AA584D17}"/>
  </bookViews>
  <sheets>
    <sheet name="January 2025" sheetId="1" r:id="rId1"/>
    <sheet name="Mapping table_1" sheetId="4" state="hidden" r:id="rId2"/>
    <sheet name="February 2025" sheetId="7" r:id="rId3"/>
    <sheet name="Mapping table_2" sheetId="9" state="hidden" r:id="rId4"/>
    <sheet name="March 2025" sheetId="8" r:id="rId5"/>
    <sheet name="Mapping table_3" sheetId="10" state="hidden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5" i="10" l="1" a="1"/>
  <c r="J5" i="10" s="1"/>
  <c r="J27" i="10" s="1"/>
  <c r="I5" i="10" a="1"/>
  <c r="I5" i="10" s="1"/>
  <c r="I27" i="10" s="1"/>
  <c r="H5" i="10" a="1"/>
  <c r="H5" i="10" s="1"/>
  <c r="H27" i="10" s="1"/>
  <c r="G5" i="10" a="1"/>
  <c r="G5" i="10" s="1"/>
  <c r="G27" i="10" s="1"/>
  <c r="J5" i="9" a="1"/>
  <c r="J5" i="9" s="1"/>
  <c r="J27" i="9" s="1"/>
  <c r="I5" i="9" a="1"/>
  <c r="I5" i="9" s="1"/>
  <c r="I27" i="9" s="1"/>
  <c r="H5" i="9" a="1"/>
  <c r="H5" i="9" s="1"/>
  <c r="H27" i="9" s="1"/>
  <c r="G5" i="9" a="1"/>
  <c r="G5" i="9" s="1"/>
  <c r="G27" i="9" s="1"/>
  <c r="J5" i="4" a="1"/>
  <c r="J5" i="4" s="1"/>
  <c r="J27" i="4" s="1"/>
  <c r="I5" i="4" a="1"/>
  <c r="I5" i="4" s="1"/>
  <c r="I27" i="4" s="1"/>
  <c r="H5" i="4" a="1"/>
  <c r="H5" i="4" s="1"/>
  <c r="H27" i="4" s="1"/>
  <c r="G5" i="4" a="1"/>
  <c r="G5" i="4" s="1"/>
  <c r="G27" i="4" s="1"/>
  <c r="H29" i="8" l="1"/>
  <c r="H28" i="8"/>
  <c r="H27" i="8"/>
  <c r="H26" i="8"/>
  <c r="H24" i="8"/>
  <c r="H25" i="8"/>
  <c r="H23" i="8"/>
  <c r="H29" i="7"/>
  <c r="H28" i="7"/>
  <c r="H27" i="7"/>
  <c r="H26" i="7"/>
  <c r="H25" i="7"/>
  <c r="H24" i="7"/>
  <c r="H23" i="7"/>
  <c r="H29" i="1"/>
  <c r="H28" i="1"/>
  <c r="H27" i="1"/>
  <c r="H26" i="1"/>
  <c r="H25" i="1"/>
  <c r="H24" i="1"/>
  <c r="H23" i="1"/>
  <c r="I18" i="8" l="1"/>
  <c r="I24" i="8" s="1"/>
  <c r="I18" i="7"/>
  <c r="I24" i="7" s="1"/>
  <c r="I18" i="1"/>
  <c r="I24" i="1" s="1"/>
  <c r="I23" i="8" l="1"/>
  <c r="I25" i="8"/>
  <c r="I23" i="7"/>
  <c r="I25" i="7"/>
  <c r="I23" i="1"/>
  <c r="I2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<sst xmlns="http://schemas.openxmlformats.org/spreadsheetml/2006/main" count="176" uniqueCount="34">
  <si>
    <t>WK</t>
  </si>
  <si>
    <t>H</t>
  </si>
  <si>
    <t>VA</t>
  </si>
  <si>
    <t>PT</t>
  </si>
  <si>
    <t>IW</t>
  </si>
  <si>
    <t>Mapping table</t>
  </si>
  <si>
    <t>Page 3</t>
  </si>
  <si>
    <t>Page 4</t>
  </si>
  <si>
    <t>Major Code</t>
  </si>
  <si>
    <t>ACTIVITY</t>
  </si>
  <si>
    <t>TASK</t>
  </si>
  <si>
    <t>ADM</t>
  </si>
  <si>
    <t>SERVICE</t>
  </si>
  <si>
    <t>UNV-TRAI</t>
  </si>
  <si>
    <t>UNV-MEET</t>
  </si>
  <si>
    <t>UNV-EVE</t>
  </si>
  <si>
    <t>OTHER</t>
  </si>
  <si>
    <t>Page2</t>
  </si>
  <si>
    <t>Page 5</t>
  </si>
  <si>
    <t>S.No</t>
  </si>
  <si>
    <t>Sub-Code</t>
  </si>
  <si>
    <t>T3-PROG-MEET</t>
  </si>
  <si>
    <t>UST-MEET</t>
  </si>
  <si>
    <t>T3-PROG-TRAI</t>
  </si>
  <si>
    <t>T3-UST-TRAI</t>
  </si>
  <si>
    <t>MCM-GUID</t>
  </si>
  <si>
    <t>MCM-DEGP</t>
  </si>
  <si>
    <t>CP-F2F-ADV</t>
  </si>
  <si>
    <t>CP-VIR-ADV</t>
  </si>
  <si>
    <t>CP-STUD-UND</t>
  </si>
  <si>
    <t>CP-EARLY-INT</t>
  </si>
  <si>
    <t>CP-STUD-ENG</t>
  </si>
  <si>
    <t>ADM-T3-PREP</t>
  </si>
  <si>
    <t>ADM-UST-PREP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</si>
</sst>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DCD7D2"/>
      <name val="Calibri"/>
      <family val="2"/>
      <scheme val="minor"/>
    </font>
    <font>
      <sz val="11"/>
      <color theme="2" tint="-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F6F6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  <border>
      <left/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medium">
        <color theme="2" tint="-9.9978637043366805E-2"/>
      </left>
      <right style="medium">
        <color theme="2" tint="-9.9978637043366805E-2"/>
      </right>
      <top style="medium">
        <color theme="2" tint="-9.9978637043366805E-2"/>
      </top>
      <bottom style="thin">
        <color theme="2" tint="-9.9978637043366805E-2"/>
      </bottom>
      <diagonal/>
    </border>
    <border>
      <left style="medium">
        <color theme="2" tint="-9.9978637043366805E-2"/>
      </left>
      <right style="medium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rgb="FFDCD7D2"/>
      </left>
      <right style="thin">
        <color rgb="FFDCD7D2"/>
      </right>
      <top/>
      <bottom style="thin">
        <color rgb="FFDCD7D2"/>
      </bottom>
      <diagonal/>
    </border>
    <border>
      <left style="medium">
        <color rgb="FFDCD7D2"/>
      </left>
      <right style="thin">
        <color rgb="FFDCD7D2"/>
      </right>
      <top style="medium">
        <color rgb="FFDCD7D2"/>
      </top>
      <bottom style="thin">
        <color rgb="FFDCD7D2"/>
      </bottom>
      <diagonal/>
    </border>
    <border>
      <left style="thin">
        <color rgb="FFDCD7D2"/>
      </left>
      <right style="medium">
        <color rgb="FFDCD7D2"/>
      </right>
      <top style="medium">
        <color rgb="FFDCD7D2"/>
      </top>
      <bottom style="thin">
        <color rgb="FFDCD7D2"/>
      </bottom>
      <diagonal/>
    </border>
    <border>
      <left style="medium">
        <color rgb="FFDCD7D2"/>
      </left>
      <right style="thin">
        <color rgb="FFDCD7D2"/>
      </right>
      <top style="thin">
        <color rgb="FFDCD7D2"/>
      </top>
      <bottom style="thin">
        <color rgb="FFDCD7D2"/>
      </bottom>
      <diagonal/>
    </border>
    <border>
      <left style="thin">
        <color rgb="FFDCD7D2"/>
      </left>
      <right style="medium">
        <color rgb="FFDCD7D2"/>
      </right>
      <top style="thin">
        <color rgb="FFDCD7D2"/>
      </top>
      <bottom style="thin">
        <color rgb="FFDCD7D2"/>
      </bottom>
      <diagonal/>
    </border>
    <border>
      <left style="medium">
        <color rgb="FFDCD7D2"/>
      </left>
      <right style="thin">
        <color rgb="FFDCD7D2"/>
      </right>
      <top style="thin">
        <color rgb="FFDCD7D2"/>
      </top>
      <bottom style="medium">
        <color rgb="FFDCD7D2"/>
      </bottom>
      <diagonal/>
    </border>
    <border>
      <left style="thin">
        <color rgb="FFDCD7D2"/>
      </left>
      <right style="medium">
        <color rgb="FFDCD7D2"/>
      </right>
      <top style="thin">
        <color rgb="FFDCD7D2"/>
      </top>
      <bottom style="medium">
        <color rgb="FFDCD7D2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26">
    <xf numFmtId="0" fontId="0" fillId="0" borderId="0" xfId="0"/>
    <xf numFmtId="0" fontId="0" fillId="0" borderId="0" xfId="0" applyBorder="1"/>
    <xf numFmtId="0" fontId="0" fillId="0" borderId="1" xfId="0" applyBorder="1"/>
    <xf numFmtId="0" fontId="2" fillId="0" borderId="0" xfId="0" applyFont="1" applyBorder="1" applyAlignment="1">
      <alignment horizontal="center" vertical="center"/>
    </xf>
    <xf numFmtId="0" fontId="0" fillId="2" borderId="0" xfId="0" applyFont="1" applyFill="1" applyBorder="1" applyAlignment="1">
      <alignment horizontal="right"/>
    </xf>
    <xf numFmtId="0" fontId="2" fillId="0" borderId="0" xfId="0" applyFont="1" applyBorder="1" applyAlignment="1">
      <alignment horizontal="center" vertical="center"/>
    </xf>
    <xf numFmtId="0" fontId="0" fillId="0" borderId="1" xfId="0" applyBorder="1" applyAlignment="1"/>
    <xf numFmtId="9" fontId="4" fillId="3" borderId="0" xfId="1" applyFont="1" applyFill="1" applyBorder="1" applyAlignment="1">
      <alignment horizontal="center" vertical="center"/>
    </xf>
    <xf numFmtId="0" fontId="0" fillId="2" borderId="8" xfId="0" applyFont="1" applyFill="1" applyBorder="1" applyAlignment="1">
      <alignment horizontal="center" vertical="center"/>
    </xf>
    <xf numFmtId="9" fontId="0" fillId="2" borderId="9" xfId="1" applyFont="1" applyFill="1" applyBorder="1" applyAlignment="1">
      <alignment horizontal="center" vertical="center"/>
    </xf>
    <xf numFmtId="0" fontId="0" fillId="2" borderId="10" xfId="0" applyFont="1" applyFill="1" applyBorder="1" applyAlignment="1">
      <alignment horizontal="center" vertical="center"/>
    </xf>
    <xf numFmtId="9" fontId="0" fillId="2" borderId="11" xfId="1" applyFont="1" applyFill="1" applyBorder="1" applyAlignment="1">
      <alignment horizontal="center" vertical="center"/>
    </xf>
    <xf numFmtId="0" fontId="0" fillId="2" borderId="12" xfId="0" applyFont="1" applyFill="1" applyBorder="1" applyAlignment="1">
      <alignment horizontal="center" vertical="center"/>
    </xf>
    <xf numFmtId="9" fontId="0" fillId="2" borderId="13" xfId="1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0" fillId="2" borderId="2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2" borderId="6" xfId="0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>
      <alignment horizontal="center" vertical="center"/>
    </xf>
    <xf numFmtId="0" fontId="0" fillId="2" borderId="2" xfId="0" applyFill="1" applyBorder="1" applyAlignment="1" applyProtection="1">
      <alignment horizontal="left" vertical="center"/>
      <protection locked="0"/>
    </xf>
    <xf numFmtId="0" fontId="0" fillId="2" borderId="3" xfId="0" applyFill="1" applyBorder="1" applyAlignment="1" applyProtection="1">
      <alignment horizontal="left" vertical="center"/>
      <protection locked="0"/>
    </xf>
    <xf numFmtId="0" fontId="0" fillId="2" borderId="4" xfId="0" applyFill="1" applyBorder="1" applyAlignment="1" applyProtection="1">
      <alignment horizontal="left" vertical="top"/>
      <protection locked="0"/>
    </xf>
    <xf numFmtId="0" fontId="0" fillId="2" borderId="2" xfId="0" applyFill="1" applyBorder="1" applyAlignment="1" applyProtection="1">
      <alignment horizontal="left" vertical="top"/>
      <protection locked="0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6F6F6"/>
      <color rgb="FFDCD7D2"/>
      <color rgb="FF716E6B"/>
      <color rgb="FF00386C"/>
      <color rgb="FFF2683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31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30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3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5.png"/><Relationship Id="rId30" Type="http://schemas.openxmlformats.org/officeDocument/2006/relationships/image" Target="../media/image2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5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34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6.png"/><Relationship Id="rId30" Type="http://schemas.openxmlformats.org/officeDocument/2006/relationships/image" Target="../media/image3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69094</xdr:colOff>
      <xdr:row>26</xdr:row>
      <xdr:rowOff>85459</xdr:rowOff>
    </xdr:from>
    <xdr:to>
      <xdr:col>6</xdr:col>
      <xdr:colOff>604024</xdr:colOff>
      <xdr:row>28</xdr:row>
      <xdr:rowOff>184642</xdr:rowOff>
    </xdr:to>
    <xdr:sp macro="" textlink="">
      <xdr:nvSpPr>
        <xdr:cNvPr id="169" name="Rectangle 168">
          <a:extLst>
            <a:ext uri="{FF2B5EF4-FFF2-40B4-BE49-F238E27FC236}">
              <a16:creationId xmlns:a16="http://schemas.microsoft.com/office/drawing/2014/main" id="{145B05E8-D97D-46FE-B0B1-E02FAF698ECA}"/>
            </a:ext>
          </a:extLst>
        </xdr:cNvPr>
        <xdr:cNvSpPr/>
      </xdr:nvSpPr>
      <xdr:spPr>
        <a:xfrm>
          <a:off x="69094" y="5066337"/>
          <a:ext cx="4400686" cy="480183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69274</xdr:colOff>
      <xdr:row>20</xdr:row>
      <xdr:rowOff>136301</xdr:rowOff>
    </xdr:from>
    <xdr:to>
      <xdr:col>10</xdr:col>
      <xdr:colOff>458933</xdr:colOff>
      <xdr:row>21</xdr:row>
      <xdr:rowOff>198407</xdr:rowOff>
    </xdr:to>
    <xdr:sp macro="" textlink="">
      <xdr:nvSpPr>
        <xdr:cNvPr id="62" name="Rectangle 61">
          <a:extLst>
            <a:ext uri="{FF2B5EF4-FFF2-40B4-BE49-F238E27FC236}">
              <a16:creationId xmlns:a16="http://schemas.microsoft.com/office/drawing/2014/main" id="{B73C0522-6A37-4CEA-B498-148E975422F7}"/>
            </a:ext>
          </a:extLst>
        </xdr:cNvPr>
        <xdr:cNvSpPr/>
      </xdr:nvSpPr>
      <xdr:spPr>
        <a:xfrm>
          <a:off x="69274" y="3954584"/>
          <a:ext cx="6643029" cy="252606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72259</xdr:colOff>
      <xdr:row>10</xdr:row>
      <xdr:rowOff>0</xdr:rowOff>
    </xdr:from>
    <xdr:to>
      <xdr:col>10</xdr:col>
      <xdr:colOff>450273</xdr:colOff>
      <xdr:row>16</xdr:row>
      <xdr:rowOff>6569</xdr:rowOff>
    </xdr:to>
    <xdr:sp macro="" textlink="">
      <xdr:nvSpPr>
        <xdr:cNvPr id="61" name="Rectangle 60">
          <a:extLst>
            <a:ext uri="{FF2B5EF4-FFF2-40B4-BE49-F238E27FC236}">
              <a16:creationId xmlns:a16="http://schemas.microsoft.com/office/drawing/2014/main" id="{CC1D1FB5-0F28-42B3-B70C-51508A7B7339}"/>
            </a:ext>
          </a:extLst>
        </xdr:cNvPr>
        <xdr:cNvSpPr/>
      </xdr:nvSpPr>
      <xdr:spPr>
        <a:xfrm>
          <a:off x="72259" y="1905000"/>
          <a:ext cx="6911043" cy="1160775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585108</xdr:colOff>
      <xdr:row>10</xdr:row>
      <xdr:rowOff>6348</xdr:rowOff>
    </xdr:from>
    <xdr:to>
      <xdr:col>9</xdr:col>
      <xdr:colOff>421822</xdr:colOff>
      <xdr:row>16</xdr:row>
      <xdr:rowOff>1208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BD0A362-D821-4BC4-9F2B-B1F365931B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5108" y="1911348"/>
          <a:ext cx="5809449" cy="1149066"/>
        </a:xfrm>
        <a:prstGeom prst="rect">
          <a:avLst/>
        </a:prstGeom>
      </xdr:spPr>
    </xdr:pic>
    <xdr:clientData/>
  </xdr:twoCellAnchor>
  <xdr:twoCellAnchor editAs="absolute">
    <xdr:from>
      <xdr:col>0</xdr:col>
      <xdr:colOff>104536</xdr:colOff>
      <xdr:row>2</xdr:row>
      <xdr:rowOff>27032</xdr:rowOff>
    </xdr:from>
    <xdr:to>
      <xdr:col>3</xdr:col>
      <xdr:colOff>684949</xdr:colOff>
      <xdr:row>4</xdr:row>
      <xdr:rowOff>176394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3CC3D72-F879-406D-B3E8-E33373A55A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104536" y="408032"/>
          <a:ext cx="2485413" cy="530362"/>
        </a:xfrm>
        <a:prstGeom prst="rect">
          <a:avLst/>
        </a:prstGeom>
      </xdr:spPr>
    </xdr:pic>
    <xdr:clientData/>
  </xdr:twoCellAnchor>
  <xdr:twoCellAnchor editAs="oneCell">
    <xdr:from>
      <xdr:col>3</xdr:col>
      <xdr:colOff>14183</xdr:colOff>
      <xdr:row>17</xdr:row>
      <xdr:rowOff>19707</xdr:rowOff>
    </xdr:from>
    <xdr:to>
      <xdr:col>8</xdr:col>
      <xdr:colOff>340115</xdr:colOff>
      <xdr:row>17</xdr:row>
      <xdr:rowOff>176544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A59DC0B-66FB-412E-B642-EBADE8E9B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20036" y="3269413"/>
          <a:ext cx="3654079" cy="156837"/>
        </a:xfrm>
        <a:prstGeom prst="rect">
          <a:avLst/>
        </a:prstGeom>
      </xdr:spPr>
    </xdr:pic>
    <xdr:clientData/>
  </xdr:twoCellAnchor>
  <xdr:twoCellAnchor editAs="absolute">
    <xdr:from>
      <xdr:col>0</xdr:col>
      <xdr:colOff>79395</xdr:colOff>
      <xdr:row>20</xdr:row>
      <xdr:rowOff>113206</xdr:rowOff>
    </xdr:from>
    <xdr:to>
      <xdr:col>7</xdr:col>
      <xdr:colOff>1044</xdr:colOff>
      <xdr:row>28</xdr:row>
      <xdr:rowOff>96622</xdr:rowOff>
    </xdr:to>
    <xdr:sp macro="" textlink="">
      <xdr:nvSpPr>
        <xdr:cNvPr id="69" name="Rectangle 68">
          <a:extLst>
            <a:ext uri="{FF2B5EF4-FFF2-40B4-BE49-F238E27FC236}">
              <a16:creationId xmlns:a16="http://schemas.microsoft.com/office/drawing/2014/main" id="{EC091EA2-A27F-458C-A3D6-9347C8F41F61}"/>
            </a:ext>
          </a:extLst>
        </xdr:cNvPr>
        <xdr:cNvSpPr/>
      </xdr:nvSpPr>
      <xdr:spPr>
        <a:xfrm>
          <a:off x="79395" y="3932499"/>
          <a:ext cx="4392522" cy="1526001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14287</xdr:colOff>
      <xdr:row>34</xdr:row>
      <xdr:rowOff>100011</xdr:rowOff>
    </xdr:from>
    <xdr:to>
      <xdr:col>5</xdr:col>
      <xdr:colOff>407194</xdr:colOff>
      <xdr:row>36</xdr:row>
      <xdr:rowOff>4761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45E7BC52-CE03-488F-8DDA-970A9E88500F}"/>
            </a:ext>
          </a:extLst>
        </xdr:cNvPr>
        <xdr:cNvSpPr txBox="1"/>
      </xdr:nvSpPr>
      <xdr:spPr>
        <a:xfrm>
          <a:off x="657225" y="6577011"/>
          <a:ext cx="3190875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1</xdr:col>
      <xdr:colOff>4762</xdr:colOff>
      <xdr:row>41</xdr:row>
      <xdr:rowOff>109537</xdr:rowOff>
    </xdr:from>
    <xdr:to>
      <xdr:col>5</xdr:col>
      <xdr:colOff>397669</xdr:colOff>
      <xdr:row>43</xdr:row>
      <xdr:rowOff>14287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BDF4CA0A-9D62-4E04-9545-33F61180A43B}"/>
            </a:ext>
          </a:extLst>
        </xdr:cNvPr>
        <xdr:cNvSpPr txBox="1"/>
      </xdr:nvSpPr>
      <xdr:spPr>
        <a:xfrm>
          <a:off x="647700" y="7920037"/>
          <a:ext cx="3190875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0</xdr:col>
      <xdr:colOff>638174</xdr:colOff>
      <xdr:row>48</xdr:row>
      <xdr:rowOff>42861</xdr:rowOff>
    </xdr:from>
    <xdr:to>
      <xdr:col>5</xdr:col>
      <xdr:colOff>388143</xdr:colOff>
      <xdr:row>49</xdr:row>
      <xdr:rowOff>138111</xdr:rowOff>
    </xdr:to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FDB1E4F1-4884-404C-844B-6DA42D096767}"/>
            </a:ext>
          </a:extLst>
        </xdr:cNvPr>
        <xdr:cNvSpPr txBox="1"/>
      </xdr:nvSpPr>
      <xdr:spPr>
        <a:xfrm>
          <a:off x="638174" y="9186861"/>
          <a:ext cx="3190875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 editAs="absolute">
    <xdr:from>
      <xdr:col>0</xdr:col>
      <xdr:colOff>59531</xdr:colOff>
      <xdr:row>0</xdr:row>
      <xdr:rowOff>59533</xdr:rowOff>
    </xdr:from>
    <xdr:to>
      <xdr:col>10</xdr:col>
      <xdr:colOff>464343</xdr:colOff>
      <xdr:row>51</xdr:row>
      <xdr:rowOff>38101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3BFFA3A-112E-4127-B28B-CC4CF15437CF}"/>
            </a:ext>
          </a:extLst>
        </xdr:cNvPr>
        <xdr:cNvSpPr/>
      </xdr:nvSpPr>
      <xdr:spPr>
        <a:xfrm>
          <a:off x="59531" y="59533"/>
          <a:ext cx="6937841" cy="9727686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80963</xdr:colOff>
      <xdr:row>0</xdr:row>
      <xdr:rowOff>71436</xdr:rowOff>
    </xdr:from>
    <xdr:to>
      <xdr:col>21</xdr:col>
      <xdr:colOff>511968</xdr:colOff>
      <xdr:row>51</xdr:row>
      <xdr:rowOff>28575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DBD7B608-BBA3-4B93-9B9B-9DA310642AA1}"/>
            </a:ext>
          </a:extLst>
        </xdr:cNvPr>
        <xdr:cNvSpPr/>
      </xdr:nvSpPr>
      <xdr:spPr>
        <a:xfrm>
          <a:off x="7252728" y="71436"/>
          <a:ext cx="6818358" cy="9706257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3</xdr:col>
      <xdr:colOff>16874</xdr:colOff>
      <xdr:row>7</xdr:row>
      <xdr:rowOff>118241</xdr:rowOff>
    </xdr:from>
    <xdr:to>
      <xdr:col>7</xdr:col>
      <xdr:colOff>505809</xdr:colOff>
      <xdr:row>8</xdr:row>
      <xdr:rowOff>96545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1E2DF879-43F5-4E9A-A8F1-5AA96D88C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022727" y="1451741"/>
          <a:ext cx="3178347" cy="168804"/>
        </a:xfrm>
        <a:prstGeom prst="rect">
          <a:avLst/>
        </a:prstGeom>
      </xdr:spPr>
    </xdr:pic>
    <xdr:clientData/>
  </xdr:twoCellAnchor>
  <xdr:twoCellAnchor editAs="oneCell">
    <xdr:from>
      <xdr:col>1</xdr:col>
      <xdr:colOff>3734</xdr:colOff>
      <xdr:row>30</xdr:row>
      <xdr:rowOff>178594</xdr:rowOff>
    </xdr:from>
    <xdr:to>
      <xdr:col>9</xdr:col>
      <xdr:colOff>522992</xdr:colOff>
      <xdr:row>33</xdr:row>
      <xdr:rowOff>178594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2661C2B7-3F0C-4988-9280-42A0996F49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46672" y="5893594"/>
          <a:ext cx="5888976" cy="5715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635143</xdr:colOff>
      <xdr:row>37</xdr:row>
      <xdr:rowOff>130969</xdr:rowOff>
    </xdr:from>
    <xdr:to>
      <xdr:col>9</xdr:col>
      <xdr:colOff>476249</xdr:colOff>
      <xdr:row>40</xdr:row>
      <xdr:rowOff>104870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AEA3D368-90D8-4702-BD32-5C48CE4BE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5143" y="7179469"/>
          <a:ext cx="5853762" cy="545401"/>
        </a:xfrm>
        <a:prstGeom prst="rect">
          <a:avLst/>
        </a:prstGeom>
      </xdr:spPr>
    </xdr:pic>
    <xdr:clientData/>
  </xdr:twoCellAnchor>
  <xdr:twoCellAnchor editAs="oneCell">
    <xdr:from>
      <xdr:col>0</xdr:col>
      <xdr:colOff>611981</xdr:colOff>
      <xdr:row>44</xdr:row>
      <xdr:rowOff>102395</xdr:rowOff>
    </xdr:from>
    <xdr:to>
      <xdr:col>9</xdr:col>
      <xdr:colOff>416718</xdr:colOff>
      <xdr:row>47</xdr:row>
      <xdr:rowOff>82201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01E4B125-C6B8-4596-A7D3-4147D9C542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11981" y="8484395"/>
          <a:ext cx="5817393" cy="551306"/>
        </a:xfrm>
        <a:prstGeom prst="rect">
          <a:avLst/>
        </a:prstGeom>
      </xdr:spPr>
    </xdr:pic>
    <xdr:clientData/>
  </xdr:twoCellAnchor>
  <xdr:twoCellAnchor editAs="oneCell">
    <xdr:from>
      <xdr:col>3</xdr:col>
      <xdr:colOff>492673</xdr:colOff>
      <xdr:row>20</xdr:row>
      <xdr:rowOff>159598</xdr:rowOff>
    </xdr:from>
    <xdr:to>
      <xdr:col>4</xdr:col>
      <xdr:colOff>533842</xdr:colOff>
      <xdr:row>21</xdr:row>
      <xdr:rowOff>131046</xdr:rowOff>
    </xdr:to>
    <xdr:pic>
      <xdr:nvPicPr>
        <xdr:cNvPr id="65" name="Picture 64">
          <a:extLst>
            <a:ext uri="{FF2B5EF4-FFF2-40B4-BE49-F238E27FC236}">
              <a16:creationId xmlns:a16="http://schemas.microsoft.com/office/drawing/2014/main" id="{351DCDDF-5FCE-4D83-8313-8E8973B4C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497253" y="3969598"/>
          <a:ext cx="811828" cy="161948"/>
        </a:xfrm>
        <a:prstGeom prst="rect">
          <a:avLst/>
        </a:prstGeom>
      </xdr:spPr>
    </xdr:pic>
    <xdr:clientData/>
  </xdr:twoCellAnchor>
  <xdr:twoCellAnchor editAs="absolute">
    <xdr:from>
      <xdr:col>7</xdr:col>
      <xdr:colOff>85695</xdr:colOff>
      <xdr:row>21</xdr:row>
      <xdr:rowOff>2240</xdr:rowOff>
    </xdr:from>
    <xdr:to>
      <xdr:col>7</xdr:col>
      <xdr:colOff>495327</xdr:colOff>
      <xdr:row>21</xdr:row>
      <xdr:rowOff>145135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D3AB86B9-5F1D-43BE-83B3-A67A3FE271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770263" y="4002740"/>
          <a:ext cx="409632" cy="142895"/>
        </a:xfrm>
        <a:prstGeom prst="rect">
          <a:avLst/>
        </a:prstGeom>
      </xdr:spPr>
    </xdr:pic>
    <xdr:clientData/>
  </xdr:twoCellAnchor>
  <xdr:twoCellAnchor editAs="oneCell">
    <xdr:from>
      <xdr:col>8</xdr:col>
      <xdr:colOff>85695</xdr:colOff>
      <xdr:row>21</xdr:row>
      <xdr:rowOff>8808</xdr:rowOff>
    </xdr:from>
    <xdr:to>
      <xdr:col>8</xdr:col>
      <xdr:colOff>571538</xdr:colOff>
      <xdr:row>21</xdr:row>
      <xdr:rowOff>142177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03270831-831D-45EB-AB33-6111BF4467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406706" y="4009308"/>
          <a:ext cx="485843" cy="133369"/>
        </a:xfrm>
        <a:prstGeom prst="rect">
          <a:avLst/>
        </a:prstGeom>
      </xdr:spPr>
    </xdr:pic>
    <xdr:clientData/>
  </xdr:twoCellAnchor>
  <xdr:twoCellAnchor editAs="oneCell">
    <xdr:from>
      <xdr:col>11</xdr:col>
      <xdr:colOff>122466</xdr:colOff>
      <xdr:row>2</xdr:row>
      <xdr:rowOff>9102</xdr:rowOff>
    </xdr:from>
    <xdr:to>
      <xdr:col>15</xdr:col>
      <xdr:colOff>184047</xdr:colOff>
      <xdr:row>4</xdr:row>
      <xdr:rowOff>158464</xdr:rowOff>
    </xdr:to>
    <xdr:pic>
      <xdr:nvPicPr>
        <xdr:cNvPr id="73" name="Picture 72">
          <a:extLst>
            <a:ext uri="{FF2B5EF4-FFF2-40B4-BE49-F238E27FC236}">
              <a16:creationId xmlns:a16="http://schemas.microsoft.com/office/drawing/2014/main" id="{2C1CAFAA-5E18-4CDD-9478-86810496633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6924437" y="390102"/>
          <a:ext cx="2482051" cy="530362"/>
        </a:xfrm>
        <a:prstGeom prst="rect">
          <a:avLst/>
        </a:prstGeom>
      </xdr:spPr>
    </xdr:pic>
    <xdr:clientData/>
  </xdr:twoCellAnchor>
  <xdr:twoCellAnchor>
    <xdr:from>
      <xdr:col>11</xdr:col>
      <xdr:colOff>94383</xdr:colOff>
      <xdr:row>11</xdr:row>
      <xdr:rowOff>124067</xdr:rowOff>
    </xdr:from>
    <xdr:to>
      <xdr:col>21</xdr:col>
      <xdr:colOff>506557</xdr:colOff>
      <xdr:row>12</xdr:row>
      <xdr:rowOff>185307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C260353E-05B5-4712-B266-7B1C6F56CCF0}"/>
            </a:ext>
          </a:extLst>
        </xdr:cNvPr>
        <xdr:cNvGrpSpPr/>
      </xdr:nvGrpSpPr>
      <xdr:grpSpPr>
        <a:xfrm>
          <a:off x="6916664" y="2219567"/>
          <a:ext cx="6484362" cy="251740"/>
          <a:chOff x="7272759" y="2590175"/>
          <a:chExt cx="6772276" cy="251740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457BF14F-CB1B-4CD5-891C-CCE12B9F151F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77" name="Picture 76">
            <a:extLst>
              <a:ext uri="{FF2B5EF4-FFF2-40B4-BE49-F238E27FC236}">
                <a16:creationId xmlns:a16="http://schemas.microsoft.com/office/drawing/2014/main" id="{BDECAB44-9796-42D8-8764-2319FC5E7CF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78" name="Picture 77">
            <a:extLst>
              <a:ext uri="{FF2B5EF4-FFF2-40B4-BE49-F238E27FC236}">
                <a16:creationId xmlns:a16="http://schemas.microsoft.com/office/drawing/2014/main" id="{A5FC73F6-1366-4378-A776-3B711248D9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79" name="Picture 78">
            <a:extLst>
              <a:ext uri="{FF2B5EF4-FFF2-40B4-BE49-F238E27FC236}">
                <a16:creationId xmlns:a16="http://schemas.microsoft.com/office/drawing/2014/main" id="{D0487AA6-184E-4F3E-9D7B-0C18874217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80" name="Picture 79">
            <a:extLst>
              <a:ext uri="{FF2B5EF4-FFF2-40B4-BE49-F238E27FC236}">
                <a16:creationId xmlns:a16="http://schemas.microsoft.com/office/drawing/2014/main" id="{C27126BA-AD33-4356-A6C6-A251E45D1C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92528</xdr:colOff>
      <xdr:row>12</xdr:row>
      <xdr:rowOff>161243</xdr:rowOff>
    </xdr:from>
    <xdr:to>
      <xdr:col>11</xdr:col>
      <xdr:colOff>625078</xdr:colOff>
      <xdr:row>51</xdr:row>
      <xdr:rowOff>23812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08862ABD-B887-4AC7-9C37-8B964F8B1A21}"/>
            </a:ext>
          </a:extLst>
        </xdr:cNvPr>
        <xdr:cNvSpPr/>
      </xdr:nvSpPr>
      <xdr:spPr>
        <a:xfrm>
          <a:off x="7254137" y="2447243"/>
          <a:ext cx="532550" cy="7482569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21</xdr:col>
      <xdr:colOff>6803</xdr:colOff>
      <xdr:row>12</xdr:row>
      <xdr:rowOff>158862</xdr:rowOff>
    </xdr:from>
    <xdr:to>
      <xdr:col>21</xdr:col>
      <xdr:colOff>506016</xdr:colOff>
      <xdr:row>51</xdr:row>
      <xdr:rowOff>17859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EFA3F557-245C-4636-8ACE-52F711FE187E}"/>
            </a:ext>
          </a:extLst>
        </xdr:cNvPr>
        <xdr:cNvSpPr/>
      </xdr:nvSpPr>
      <xdr:spPr>
        <a:xfrm>
          <a:off x="13538256" y="2444862"/>
          <a:ext cx="499213" cy="7478997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202410</xdr:colOff>
      <xdr:row>50</xdr:row>
      <xdr:rowOff>11906</xdr:rowOff>
    </xdr:from>
    <xdr:to>
      <xdr:col>21</xdr:col>
      <xdr:colOff>369094</xdr:colOff>
      <xdr:row>51</xdr:row>
      <xdr:rowOff>23812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DFA1C86A-7984-485F-8405-AB675A1F48D7}"/>
            </a:ext>
          </a:extLst>
        </xdr:cNvPr>
        <xdr:cNvSpPr/>
      </xdr:nvSpPr>
      <xdr:spPr>
        <a:xfrm rot="16200000">
          <a:off x="10531080" y="6560345"/>
          <a:ext cx="202406" cy="6536528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80963</xdr:colOff>
      <xdr:row>0</xdr:row>
      <xdr:rowOff>71436</xdr:rowOff>
    </xdr:from>
    <xdr:to>
      <xdr:col>32</xdr:col>
      <xdr:colOff>511968</xdr:colOff>
      <xdr:row>51</xdr:row>
      <xdr:rowOff>28575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FDDC3C6E-E732-4B5B-8DEC-67D0507D31C5}"/>
            </a:ext>
          </a:extLst>
        </xdr:cNvPr>
        <xdr:cNvSpPr/>
      </xdr:nvSpPr>
      <xdr:spPr>
        <a:xfrm>
          <a:off x="7253288" y="71436"/>
          <a:ext cx="6812755" cy="9882189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22</xdr:col>
      <xdr:colOff>111260</xdr:colOff>
      <xdr:row>2</xdr:row>
      <xdr:rowOff>20308</xdr:rowOff>
    </xdr:from>
    <xdr:ext cx="2614281" cy="530362"/>
    <xdr:pic>
      <xdr:nvPicPr>
        <xdr:cNvPr id="43" name="Picture 42">
          <a:extLst>
            <a:ext uri="{FF2B5EF4-FFF2-40B4-BE49-F238E27FC236}">
              <a16:creationId xmlns:a16="http://schemas.microsoft.com/office/drawing/2014/main" id="{50EF9565-56B1-4CE0-9AB9-CDEE4ECC44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7283585" y="401308"/>
          <a:ext cx="2614281" cy="530362"/>
        </a:xfrm>
        <a:prstGeom prst="rect">
          <a:avLst/>
        </a:prstGeom>
      </xdr:spPr>
    </xdr:pic>
    <xdr:clientData/>
  </xdr:oneCellAnchor>
  <xdr:twoCellAnchor>
    <xdr:from>
      <xdr:col>22</xdr:col>
      <xdr:colOff>94383</xdr:colOff>
      <xdr:row>11</xdr:row>
      <xdr:rowOff>124067</xdr:rowOff>
    </xdr:from>
    <xdr:to>
      <xdr:col>32</xdr:col>
      <xdr:colOff>506557</xdr:colOff>
      <xdr:row>12</xdr:row>
      <xdr:rowOff>185307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427F74FC-4C89-4FFE-B3C1-CC1C1707A9A9}"/>
            </a:ext>
          </a:extLst>
        </xdr:cNvPr>
        <xdr:cNvGrpSpPr/>
      </xdr:nvGrpSpPr>
      <xdr:grpSpPr>
        <a:xfrm>
          <a:off x="13596071" y="2219567"/>
          <a:ext cx="6484361" cy="251740"/>
          <a:chOff x="7272759" y="2590175"/>
          <a:chExt cx="6772276" cy="251740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2BF38F97-FB9B-4DA2-B60B-8278C211ACE9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9" name="Picture 58">
            <a:extLst>
              <a:ext uri="{FF2B5EF4-FFF2-40B4-BE49-F238E27FC236}">
                <a16:creationId xmlns:a16="http://schemas.microsoft.com/office/drawing/2014/main" id="{D8C6A878-F158-4B46-8615-BD407B480F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63" name="Picture 62">
            <a:extLst>
              <a:ext uri="{FF2B5EF4-FFF2-40B4-BE49-F238E27FC236}">
                <a16:creationId xmlns:a16="http://schemas.microsoft.com/office/drawing/2014/main" id="{1B45115A-CB60-4BBD-A512-1A49F8B1352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64" name="Picture 63">
            <a:extLst>
              <a:ext uri="{FF2B5EF4-FFF2-40B4-BE49-F238E27FC236}">
                <a16:creationId xmlns:a16="http://schemas.microsoft.com/office/drawing/2014/main" id="{E74E3BD9-5BDE-49CA-B841-7EBEC292BD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68" name="Picture 67">
            <a:extLst>
              <a:ext uri="{FF2B5EF4-FFF2-40B4-BE49-F238E27FC236}">
                <a16:creationId xmlns:a16="http://schemas.microsoft.com/office/drawing/2014/main" id="{592EDF36-61FE-4FA7-B1E3-BF64BCE7FA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92528</xdr:colOff>
      <xdr:row>12</xdr:row>
      <xdr:rowOff>161243</xdr:rowOff>
    </xdr:from>
    <xdr:to>
      <xdr:col>22</xdr:col>
      <xdr:colOff>625078</xdr:colOff>
      <xdr:row>51</xdr:row>
      <xdr:rowOff>23812</xdr:rowOff>
    </xdr:to>
    <xdr:sp macro="" textlink="">
      <xdr:nvSpPr>
        <xdr:cNvPr id="72" name="Rectangle 71">
          <a:extLst>
            <a:ext uri="{FF2B5EF4-FFF2-40B4-BE49-F238E27FC236}">
              <a16:creationId xmlns:a16="http://schemas.microsoft.com/office/drawing/2014/main" id="{0C3FBE01-B354-480C-A6AF-97C3E118B703}"/>
            </a:ext>
          </a:extLst>
        </xdr:cNvPr>
        <xdr:cNvSpPr/>
      </xdr:nvSpPr>
      <xdr:spPr>
        <a:xfrm>
          <a:off x="7264853" y="2447243"/>
          <a:ext cx="532550" cy="7501619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32</xdr:col>
      <xdr:colOff>6803</xdr:colOff>
      <xdr:row>12</xdr:row>
      <xdr:rowOff>158862</xdr:rowOff>
    </xdr:from>
    <xdr:to>
      <xdr:col>32</xdr:col>
      <xdr:colOff>506016</xdr:colOff>
      <xdr:row>51</xdr:row>
      <xdr:rowOff>17859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1E4D2EC0-B33B-4CB6-B945-A5B8F8CB8E24}"/>
            </a:ext>
          </a:extLst>
        </xdr:cNvPr>
        <xdr:cNvSpPr/>
      </xdr:nvSpPr>
      <xdr:spPr>
        <a:xfrm>
          <a:off x="13560878" y="2444862"/>
          <a:ext cx="499213" cy="7498047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202410</xdr:colOff>
      <xdr:row>50</xdr:row>
      <xdr:rowOff>11906</xdr:rowOff>
    </xdr:from>
    <xdr:to>
      <xdr:col>32</xdr:col>
      <xdr:colOff>369094</xdr:colOff>
      <xdr:row>51</xdr:row>
      <xdr:rowOff>23812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629939EF-B47D-490C-A65F-A2B341EA098F}"/>
            </a:ext>
          </a:extLst>
        </xdr:cNvPr>
        <xdr:cNvSpPr/>
      </xdr:nvSpPr>
      <xdr:spPr>
        <a:xfrm rot="16200000">
          <a:off x="10547749" y="6573442"/>
          <a:ext cx="202406" cy="654843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80963</xdr:colOff>
      <xdr:row>0</xdr:row>
      <xdr:rowOff>71436</xdr:rowOff>
    </xdr:from>
    <xdr:to>
      <xdr:col>43</xdr:col>
      <xdr:colOff>511968</xdr:colOff>
      <xdr:row>51</xdr:row>
      <xdr:rowOff>28575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F92385E2-055D-43B8-B7BC-6ADA42C9A959}"/>
            </a:ext>
          </a:extLst>
        </xdr:cNvPr>
        <xdr:cNvSpPr/>
      </xdr:nvSpPr>
      <xdr:spPr>
        <a:xfrm>
          <a:off x="14273213" y="71436"/>
          <a:ext cx="6812755" cy="9882189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33</xdr:col>
      <xdr:colOff>111260</xdr:colOff>
      <xdr:row>2</xdr:row>
      <xdr:rowOff>9102</xdr:rowOff>
    </xdr:from>
    <xdr:ext cx="2614281" cy="530362"/>
    <xdr:pic>
      <xdr:nvPicPr>
        <xdr:cNvPr id="88" name="Picture 87">
          <a:extLst>
            <a:ext uri="{FF2B5EF4-FFF2-40B4-BE49-F238E27FC236}">
              <a16:creationId xmlns:a16="http://schemas.microsoft.com/office/drawing/2014/main" id="{6A1DCCE1-FC3C-4199-B12A-39E3B1BB04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0225819" y="390102"/>
          <a:ext cx="2614281" cy="530362"/>
        </a:xfrm>
        <a:prstGeom prst="rect">
          <a:avLst/>
        </a:prstGeom>
      </xdr:spPr>
    </xdr:pic>
    <xdr:clientData/>
  </xdr:oneCellAnchor>
  <xdr:twoCellAnchor>
    <xdr:from>
      <xdr:col>33</xdr:col>
      <xdr:colOff>94383</xdr:colOff>
      <xdr:row>11</xdr:row>
      <xdr:rowOff>124067</xdr:rowOff>
    </xdr:from>
    <xdr:to>
      <xdr:col>43</xdr:col>
      <xdr:colOff>506557</xdr:colOff>
      <xdr:row>12</xdr:row>
      <xdr:rowOff>185307</xdr:rowOff>
    </xdr:to>
    <xdr:grpSp>
      <xdr:nvGrpSpPr>
        <xdr:cNvPr id="91" name="Group 90">
          <a:extLst>
            <a:ext uri="{FF2B5EF4-FFF2-40B4-BE49-F238E27FC236}">
              <a16:creationId xmlns:a16="http://schemas.microsoft.com/office/drawing/2014/main" id="{85455B32-931A-44F6-8413-6B39B8947CCD}"/>
            </a:ext>
          </a:extLst>
        </xdr:cNvPr>
        <xdr:cNvGrpSpPr/>
      </xdr:nvGrpSpPr>
      <xdr:grpSpPr>
        <a:xfrm>
          <a:off x="20275477" y="2219567"/>
          <a:ext cx="6484361" cy="251740"/>
          <a:chOff x="7272759" y="2590175"/>
          <a:chExt cx="6772276" cy="251740"/>
        </a:xfrm>
      </xdr:grpSpPr>
      <xdr:sp macro="" textlink="">
        <xdr:nvSpPr>
          <xdr:cNvPr id="92" name="Rectangle 91">
            <a:extLst>
              <a:ext uri="{FF2B5EF4-FFF2-40B4-BE49-F238E27FC236}">
                <a16:creationId xmlns:a16="http://schemas.microsoft.com/office/drawing/2014/main" id="{754898F4-3058-4F7D-BA89-7BAFC61CC050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93" name="Picture 92">
            <a:extLst>
              <a:ext uri="{FF2B5EF4-FFF2-40B4-BE49-F238E27FC236}">
                <a16:creationId xmlns:a16="http://schemas.microsoft.com/office/drawing/2014/main" id="{683F2599-41AF-4EF9-8B06-3CEA47EFF6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94" name="Picture 93">
            <a:extLst>
              <a:ext uri="{FF2B5EF4-FFF2-40B4-BE49-F238E27FC236}">
                <a16:creationId xmlns:a16="http://schemas.microsoft.com/office/drawing/2014/main" id="{FDFB3A17-CAEB-4AFB-8C56-50D4CD6B16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95" name="Picture 94">
            <a:extLst>
              <a:ext uri="{FF2B5EF4-FFF2-40B4-BE49-F238E27FC236}">
                <a16:creationId xmlns:a16="http://schemas.microsoft.com/office/drawing/2014/main" id="{22F336D5-2A68-4D8F-B550-0BFCF74FBD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96" name="Picture 95">
            <a:extLst>
              <a:ext uri="{FF2B5EF4-FFF2-40B4-BE49-F238E27FC236}">
                <a16:creationId xmlns:a16="http://schemas.microsoft.com/office/drawing/2014/main" id="{1FC809E9-8B75-4CE8-B60D-65987D99CA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92528</xdr:colOff>
      <xdr:row>12</xdr:row>
      <xdr:rowOff>161243</xdr:rowOff>
    </xdr:from>
    <xdr:to>
      <xdr:col>33</xdr:col>
      <xdr:colOff>625078</xdr:colOff>
      <xdr:row>51</xdr:row>
      <xdr:rowOff>23812</xdr:rowOff>
    </xdr:to>
    <xdr:sp macro="" textlink="">
      <xdr:nvSpPr>
        <xdr:cNvPr id="97" name="Rectangle 96">
          <a:extLst>
            <a:ext uri="{FF2B5EF4-FFF2-40B4-BE49-F238E27FC236}">
              <a16:creationId xmlns:a16="http://schemas.microsoft.com/office/drawing/2014/main" id="{E43E135B-DDC0-484E-B71E-CFA5169CE25F}"/>
            </a:ext>
          </a:extLst>
        </xdr:cNvPr>
        <xdr:cNvSpPr/>
      </xdr:nvSpPr>
      <xdr:spPr>
        <a:xfrm>
          <a:off x="14284778" y="2447243"/>
          <a:ext cx="532550" cy="7501619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43</xdr:col>
      <xdr:colOff>6803</xdr:colOff>
      <xdr:row>12</xdr:row>
      <xdr:rowOff>158862</xdr:rowOff>
    </xdr:from>
    <xdr:to>
      <xdr:col>43</xdr:col>
      <xdr:colOff>506016</xdr:colOff>
      <xdr:row>51</xdr:row>
      <xdr:rowOff>17859</xdr:rowOff>
    </xdr:to>
    <xdr:sp macro="" textlink="">
      <xdr:nvSpPr>
        <xdr:cNvPr id="98" name="Rectangle 97">
          <a:extLst>
            <a:ext uri="{FF2B5EF4-FFF2-40B4-BE49-F238E27FC236}">
              <a16:creationId xmlns:a16="http://schemas.microsoft.com/office/drawing/2014/main" id="{4774F15E-C275-401B-A3AB-82A2FA4E0597}"/>
            </a:ext>
          </a:extLst>
        </xdr:cNvPr>
        <xdr:cNvSpPr/>
      </xdr:nvSpPr>
      <xdr:spPr>
        <a:xfrm>
          <a:off x="20580803" y="2444862"/>
          <a:ext cx="499213" cy="7498047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202410</xdr:colOff>
      <xdr:row>50</xdr:row>
      <xdr:rowOff>11906</xdr:rowOff>
    </xdr:from>
    <xdr:to>
      <xdr:col>43</xdr:col>
      <xdr:colOff>369094</xdr:colOff>
      <xdr:row>51</xdr:row>
      <xdr:rowOff>23812</xdr:rowOff>
    </xdr:to>
    <xdr:sp macro="" textlink="">
      <xdr:nvSpPr>
        <xdr:cNvPr id="99" name="Rectangle 98">
          <a:extLst>
            <a:ext uri="{FF2B5EF4-FFF2-40B4-BE49-F238E27FC236}">
              <a16:creationId xmlns:a16="http://schemas.microsoft.com/office/drawing/2014/main" id="{B821FFEB-BA62-4564-95DD-58BC55496BAD}"/>
            </a:ext>
          </a:extLst>
        </xdr:cNvPr>
        <xdr:cNvSpPr/>
      </xdr:nvSpPr>
      <xdr:spPr>
        <a:xfrm rot="16200000">
          <a:off x="17567674" y="6573442"/>
          <a:ext cx="202406" cy="654843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80963</xdr:colOff>
      <xdr:row>0</xdr:row>
      <xdr:rowOff>71436</xdr:rowOff>
    </xdr:from>
    <xdr:to>
      <xdr:col>32</xdr:col>
      <xdr:colOff>511968</xdr:colOff>
      <xdr:row>51</xdr:row>
      <xdr:rowOff>28575</xdr:rowOff>
    </xdr:to>
    <xdr:sp macro="" textlink="">
      <xdr:nvSpPr>
        <xdr:cNvPr id="100" name="Rectangle 99">
          <a:extLst>
            <a:ext uri="{FF2B5EF4-FFF2-40B4-BE49-F238E27FC236}">
              <a16:creationId xmlns:a16="http://schemas.microsoft.com/office/drawing/2014/main" id="{F09C27A1-50A3-4DC0-9BC2-A63E1E05CB82}"/>
            </a:ext>
          </a:extLst>
        </xdr:cNvPr>
        <xdr:cNvSpPr/>
      </xdr:nvSpPr>
      <xdr:spPr>
        <a:xfrm>
          <a:off x="7252728" y="71436"/>
          <a:ext cx="6818358" cy="9885551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22</xdr:col>
      <xdr:colOff>144877</xdr:colOff>
      <xdr:row>2</xdr:row>
      <xdr:rowOff>20308</xdr:rowOff>
    </xdr:from>
    <xdr:ext cx="2616522" cy="530362"/>
    <xdr:pic>
      <xdr:nvPicPr>
        <xdr:cNvPr id="101" name="Picture 100">
          <a:extLst>
            <a:ext uri="{FF2B5EF4-FFF2-40B4-BE49-F238E27FC236}">
              <a16:creationId xmlns:a16="http://schemas.microsoft.com/office/drawing/2014/main" id="{C209DB18-4F60-4D31-9EAB-350D993706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13603142" y="401308"/>
          <a:ext cx="2616522" cy="530362"/>
        </a:xfrm>
        <a:prstGeom prst="rect">
          <a:avLst/>
        </a:prstGeom>
      </xdr:spPr>
    </xdr:pic>
    <xdr:clientData/>
  </xdr:oneCellAnchor>
  <xdr:twoCellAnchor>
    <xdr:from>
      <xdr:col>22</xdr:col>
      <xdr:colOff>94383</xdr:colOff>
      <xdr:row>11</xdr:row>
      <xdr:rowOff>124067</xdr:rowOff>
    </xdr:from>
    <xdr:to>
      <xdr:col>32</xdr:col>
      <xdr:colOff>506557</xdr:colOff>
      <xdr:row>12</xdr:row>
      <xdr:rowOff>185307</xdr:rowOff>
    </xdr:to>
    <xdr:grpSp>
      <xdr:nvGrpSpPr>
        <xdr:cNvPr id="104" name="Group 103">
          <a:extLst>
            <a:ext uri="{FF2B5EF4-FFF2-40B4-BE49-F238E27FC236}">
              <a16:creationId xmlns:a16="http://schemas.microsoft.com/office/drawing/2014/main" id="{51A419EB-4BDA-4AB5-880E-DBB9EE2287E0}"/>
            </a:ext>
          </a:extLst>
        </xdr:cNvPr>
        <xdr:cNvGrpSpPr/>
      </xdr:nvGrpSpPr>
      <xdr:grpSpPr>
        <a:xfrm>
          <a:off x="13596071" y="2219567"/>
          <a:ext cx="6484361" cy="251740"/>
          <a:chOff x="7272759" y="2590175"/>
          <a:chExt cx="6772276" cy="251740"/>
        </a:xfrm>
      </xdr:grpSpPr>
      <xdr:sp macro="" textlink="">
        <xdr:nvSpPr>
          <xdr:cNvPr id="105" name="Rectangle 104">
            <a:extLst>
              <a:ext uri="{FF2B5EF4-FFF2-40B4-BE49-F238E27FC236}">
                <a16:creationId xmlns:a16="http://schemas.microsoft.com/office/drawing/2014/main" id="{0EEEF09F-DCC5-4526-A502-8996D5570450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06" name="Picture 105">
            <a:extLst>
              <a:ext uri="{FF2B5EF4-FFF2-40B4-BE49-F238E27FC236}">
                <a16:creationId xmlns:a16="http://schemas.microsoft.com/office/drawing/2014/main" id="{A3294E48-894F-4F65-8AF3-24593AB232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107" name="Picture 106">
            <a:extLst>
              <a:ext uri="{FF2B5EF4-FFF2-40B4-BE49-F238E27FC236}">
                <a16:creationId xmlns:a16="http://schemas.microsoft.com/office/drawing/2014/main" id="{E58D8056-4FAC-4D0C-8B3D-3DCDFBAF4E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108" name="Picture 107">
            <a:extLst>
              <a:ext uri="{FF2B5EF4-FFF2-40B4-BE49-F238E27FC236}">
                <a16:creationId xmlns:a16="http://schemas.microsoft.com/office/drawing/2014/main" id="{75DE0AC8-5EA1-4741-AC27-2C02B5BBA1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109" name="Picture 108">
            <a:extLst>
              <a:ext uri="{FF2B5EF4-FFF2-40B4-BE49-F238E27FC236}">
                <a16:creationId xmlns:a16="http://schemas.microsoft.com/office/drawing/2014/main" id="{DBBCD6DB-11F2-4CEC-AFED-7DAC5FC549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92528</xdr:colOff>
      <xdr:row>12</xdr:row>
      <xdr:rowOff>161243</xdr:rowOff>
    </xdr:from>
    <xdr:to>
      <xdr:col>22</xdr:col>
      <xdr:colOff>625078</xdr:colOff>
      <xdr:row>51</xdr:row>
      <xdr:rowOff>23812</xdr:rowOff>
    </xdr:to>
    <xdr:sp macro="" textlink="">
      <xdr:nvSpPr>
        <xdr:cNvPr id="110" name="Rectangle 109">
          <a:extLst>
            <a:ext uri="{FF2B5EF4-FFF2-40B4-BE49-F238E27FC236}">
              <a16:creationId xmlns:a16="http://schemas.microsoft.com/office/drawing/2014/main" id="{AF7E80E3-D013-44D2-B1B3-020330B885ED}"/>
            </a:ext>
          </a:extLst>
        </xdr:cNvPr>
        <xdr:cNvSpPr/>
      </xdr:nvSpPr>
      <xdr:spPr>
        <a:xfrm>
          <a:off x="7264293" y="2447243"/>
          <a:ext cx="532550" cy="7504981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32</xdr:col>
      <xdr:colOff>6803</xdr:colOff>
      <xdr:row>12</xdr:row>
      <xdr:rowOff>158862</xdr:rowOff>
    </xdr:from>
    <xdr:to>
      <xdr:col>32</xdr:col>
      <xdr:colOff>506016</xdr:colOff>
      <xdr:row>51</xdr:row>
      <xdr:rowOff>17859</xdr:rowOff>
    </xdr:to>
    <xdr:sp macro="" textlink="">
      <xdr:nvSpPr>
        <xdr:cNvPr id="111" name="Rectangle 110">
          <a:extLst>
            <a:ext uri="{FF2B5EF4-FFF2-40B4-BE49-F238E27FC236}">
              <a16:creationId xmlns:a16="http://schemas.microsoft.com/office/drawing/2014/main" id="{111D7567-47C9-4CF9-8014-870D6B1C8B44}"/>
            </a:ext>
          </a:extLst>
        </xdr:cNvPr>
        <xdr:cNvSpPr/>
      </xdr:nvSpPr>
      <xdr:spPr>
        <a:xfrm>
          <a:off x="13565921" y="2444862"/>
          <a:ext cx="499213" cy="7501409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202410</xdr:colOff>
      <xdr:row>50</xdr:row>
      <xdr:rowOff>11906</xdr:rowOff>
    </xdr:from>
    <xdr:to>
      <xdr:col>32</xdr:col>
      <xdr:colOff>369094</xdr:colOff>
      <xdr:row>51</xdr:row>
      <xdr:rowOff>23812</xdr:rowOff>
    </xdr:to>
    <xdr:sp macro="" textlink="">
      <xdr:nvSpPr>
        <xdr:cNvPr id="112" name="Rectangle 111">
          <a:extLst>
            <a:ext uri="{FF2B5EF4-FFF2-40B4-BE49-F238E27FC236}">
              <a16:creationId xmlns:a16="http://schemas.microsoft.com/office/drawing/2014/main" id="{FC4CE47D-FF53-414B-B297-07203E4A42CB}"/>
            </a:ext>
          </a:extLst>
        </xdr:cNvPr>
        <xdr:cNvSpPr/>
      </xdr:nvSpPr>
      <xdr:spPr>
        <a:xfrm rot="16200000">
          <a:off x="10549991" y="6574002"/>
          <a:ext cx="202406" cy="6554037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80963</xdr:colOff>
      <xdr:row>0</xdr:row>
      <xdr:rowOff>71436</xdr:rowOff>
    </xdr:from>
    <xdr:to>
      <xdr:col>43</xdr:col>
      <xdr:colOff>511968</xdr:colOff>
      <xdr:row>51</xdr:row>
      <xdr:rowOff>28575</xdr:rowOff>
    </xdr:to>
    <xdr:sp macro="" textlink="">
      <xdr:nvSpPr>
        <xdr:cNvPr id="113" name="Rectangle 112">
          <a:extLst>
            <a:ext uri="{FF2B5EF4-FFF2-40B4-BE49-F238E27FC236}">
              <a16:creationId xmlns:a16="http://schemas.microsoft.com/office/drawing/2014/main" id="{AA6122FB-45C0-4D8F-9B94-5326D4EBC994}"/>
            </a:ext>
          </a:extLst>
        </xdr:cNvPr>
        <xdr:cNvSpPr/>
      </xdr:nvSpPr>
      <xdr:spPr>
        <a:xfrm>
          <a:off x="21304904" y="71436"/>
          <a:ext cx="6818358" cy="9885551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94383</xdr:colOff>
      <xdr:row>11</xdr:row>
      <xdr:rowOff>124067</xdr:rowOff>
    </xdr:from>
    <xdr:to>
      <xdr:col>43</xdr:col>
      <xdr:colOff>506557</xdr:colOff>
      <xdr:row>12</xdr:row>
      <xdr:rowOff>185307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1CA3CDC3-2054-4BBC-932B-52B67CBD5B7B}"/>
            </a:ext>
          </a:extLst>
        </xdr:cNvPr>
        <xdr:cNvGrpSpPr/>
      </xdr:nvGrpSpPr>
      <xdr:grpSpPr>
        <a:xfrm>
          <a:off x="20275477" y="2219567"/>
          <a:ext cx="6484361" cy="251740"/>
          <a:chOff x="7272759" y="2590175"/>
          <a:chExt cx="6772276" cy="251740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52BA4F81-612C-4CC1-AAE8-2D4596FB9431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19" name="Picture 118">
            <a:extLst>
              <a:ext uri="{FF2B5EF4-FFF2-40B4-BE49-F238E27FC236}">
                <a16:creationId xmlns:a16="http://schemas.microsoft.com/office/drawing/2014/main" id="{4BBE63B5-C192-43DD-9356-8D4FCF3282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120" name="Picture 119">
            <a:extLst>
              <a:ext uri="{FF2B5EF4-FFF2-40B4-BE49-F238E27FC236}">
                <a16:creationId xmlns:a16="http://schemas.microsoft.com/office/drawing/2014/main" id="{0118228D-767E-4805-AD8C-6A0120B9CBC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121" name="Picture 120">
            <a:extLst>
              <a:ext uri="{FF2B5EF4-FFF2-40B4-BE49-F238E27FC236}">
                <a16:creationId xmlns:a16="http://schemas.microsoft.com/office/drawing/2014/main" id="{87F429AD-3725-4731-9554-3A36D1637B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122" name="Picture 121">
            <a:extLst>
              <a:ext uri="{FF2B5EF4-FFF2-40B4-BE49-F238E27FC236}">
                <a16:creationId xmlns:a16="http://schemas.microsoft.com/office/drawing/2014/main" id="{F98A0243-8D18-4501-9742-4E7ADBC6D0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92528</xdr:colOff>
      <xdr:row>12</xdr:row>
      <xdr:rowOff>161243</xdr:rowOff>
    </xdr:from>
    <xdr:to>
      <xdr:col>33</xdr:col>
      <xdr:colOff>625078</xdr:colOff>
      <xdr:row>51</xdr:row>
      <xdr:rowOff>23812</xdr:rowOff>
    </xdr:to>
    <xdr:sp macro="" textlink="">
      <xdr:nvSpPr>
        <xdr:cNvPr id="123" name="Rectangle 122">
          <a:extLst>
            <a:ext uri="{FF2B5EF4-FFF2-40B4-BE49-F238E27FC236}">
              <a16:creationId xmlns:a16="http://schemas.microsoft.com/office/drawing/2014/main" id="{FD9014C8-09CB-4EA8-8188-4AE5B3EDCA55}"/>
            </a:ext>
          </a:extLst>
        </xdr:cNvPr>
        <xdr:cNvSpPr/>
      </xdr:nvSpPr>
      <xdr:spPr>
        <a:xfrm>
          <a:off x="7264293" y="2447243"/>
          <a:ext cx="532550" cy="7504981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43</xdr:col>
      <xdr:colOff>6803</xdr:colOff>
      <xdr:row>12</xdr:row>
      <xdr:rowOff>158862</xdr:rowOff>
    </xdr:from>
    <xdr:to>
      <xdr:col>43</xdr:col>
      <xdr:colOff>506016</xdr:colOff>
      <xdr:row>51</xdr:row>
      <xdr:rowOff>17859</xdr:rowOff>
    </xdr:to>
    <xdr:sp macro="" textlink="">
      <xdr:nvSpPr>
        <xdr:cNvPr id="124" name="Rectangle 123">
          <a:extLst>
            <a:ext uri="{FF2B5EF4-FFF2-40B4-BE49-F238E27FC236}">
              <a16:creationId xmlns:a16="http://schemas.microsoft.com/office/drawing/2014/main" id="{52D8D28E-991F-418B-91F0-43F6741E6326}"/>
            </a:ext>
          </a:extLst>
        </xdr:cNvPr>
        <xdr:cNvSpPr/>
      </xdr:nvSpPr>
      <xdr:spPr>
        <a:xfrm>
          <a:off x="13565921" y="2444862"/>
          <a:ext cx="499213" cy="7501409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202410</xdr:colOff>
      <xdr:row>50</xdr:row>
      <xdr:rowOff>11906</xdr:rowOff>
    </xdr:from>
    <xdr:to>
      <xdr:col>43</xdr:col>
      <xdr:colOff>369094</xdr:colOff>
      <xdr:row>51</xdr:row>
      <xdr:rowOff>23812</xdr:rowOff>
    </xdr:to>
    <xdr:sp macro="" textlink="">
      <xdr:nvSpPr>
        <xdr:cNvPr id="125" name="Rectangle 124">
          <a:extLst>
            <a:ext uri="{FF2B5EF4-FFF2-40B4-BE49-F238E27FC236}">
              <a16:creationId xmlns:a16="http://schemas.microsoft.com/office/drawing/2014/main" id="{B39EBBAE-0ACE-41D3-9829-18E5E3025DC2}"/>
            </a:ext>
          </a:extLst>
        </xdr:cNvPr>
        <xdr:cNvSpPr/>
      </xdr:nvSpPr>
      <xdr:spPr>
        <a:xfrm rot="16200000">
          <a:off x="10549991" y="6574002"/>
          <a:ext cx="202406" cy="6554037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80963</xdr:colOff>
      <xdr:row>0</xdr:row>
      <xdr:rowOff>71436</xdr:rowOff>
    </xdr:from>
    <xdr:to>
      <xdr:col>54</xdr:col>
      <xdr:colOff>511968</xdr:colOff>
      <xdr:row>51</xdr:row>
      <xdr:rowOff>28575</xdr:rowOff>
    </xdr:to>
    <xdr:sp macro="" textlink="">
      <xdr:nvSpPr>
        <xdr:cNvPr id="126" name="Rectangle 125">
          <a:extLst>
            <a:ext uri="{FF2B5EF4-FFF2-40B4-BE49-F238E27FC236}">
              <a16:creationId xmlns:a16="http://schemas.microsoft.com/office/drawing/2014/main" id="{C7FC39F2-35E6-42BF-9959-7F06743F8BA4}"/>
            </a:ext>
          </a:extLst>
        </xdr:cNvPr>
        <xdr:cNvSpPr/>
      </xdr:nvSpPr>
      <xdr:spPr>
        <a:xfrm>
          <a:off x="21304904" y="71436"/>
          <a:ext cx="6818358" cy="9885551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44</xdr:col>
      <xdr:colOff>111260</xdr:colOff>
      <xdr:row>2</xdr:row>
      <xdr:rowOff>20308</xdr:rowOff>
    </xdr:from>
    <xdr:ext cx="2614281" cy="530362"/>
    <xdr:pic>
      <xdr:nvPicPr>
        <xdr:cNvPr id="127" name="Picture 126">
          <a:extLst>
            <a:ext uri="{FF2B5EF4-FFF2-40B4-BE49-F238E27FC236}">
              <a16:creationId xmlns:a16="http://schemas.microsoft.com/office/drawing/2014/main" id="{5E4ED967-314D-44D4-9DAA-5948BDAB578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1335201" y="401308"/>
          <a:ext cx="2614281" cy="530362"/>
        </a:xfrm>
        <a:prstGeom prst="rect">
          <a:avLst/>
        </a:prstGeom>
      </xdr:spPr>
    </xdr:pic>
    <xdr:clientData/>
  </xdr:oneCellAnchor>
  <xdr:twoCellAnchor>
    <xdr:from>
      <xdr:col>44</xdr:col>
      <xdr:colOff>94383</xdr:colOff>
      <xdr:row>11</xdr:row>
      <xdr:rowOff>124067</xdr:rowOff>
    </xdr:from>
    <xdr:to>
      <xdr:col>54</xdr:col>
      <xdr:colOff>506557</xdr:colOff>
      <xdr:row>12</xdr:row>
      <xdr:rowOff>185307</xdr:rowOff>
    </xdr:to>
    <xdr:grpSp>
      <xdr:nvGrpSpPr>
        <xdr:cNvPr id="130" name="Group 129">
          <a:extLst>
            <a:ext uri="{FF2B5EF4-FFF2-40B4-BE49-F238E27FC236}">
              <a16:creationId xmlns:a16="http://schemas.microsoft.com/office/drawing/2014/main" id="{8020E5E7-9F67-4765-A068-BEF64B85DD4B}"/>
            </a:ext>
          </a:extLst>
        </xdr:cNvPr>
        <xdr:cNvGrpSpPr/>
      </xdr:nvGrpSpPr>
      <xdr:grpSpPr>
        <a:xfrm>
          <a:off x="26954883" y="2219567"/>
          <a:ext cx="6484362" cy="251740"/>
          <a:chOff x="7272759" y="2590175"/>
          <a:chExt cx="6772276" cy="251740"/>
        </a:xfrm>
      </xdr:grpSpPr>
      <xdr:sp macro="" textlink="">
        <xdr:nvSpPr>
          <xdr:cNvPr id="131" name="Rectangle 130">
            <a:extLst>
              <a:ext uri="{FF2B5EF4-FFF2-40B4-BE49-F238E27FC236}">
                <a16:creationId xmlns:a16="http://schemas.microsoft.com/office/drawing/2014/main" id="{D0E703C4-7B1A-4705-8DF4-1AD0EA244DA2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32" name="Picture 131">
            <a:extLst>
              <a:ext uri="{FF2B5EF4-FFF2-40B4-BE49-F238E27FC236}">
                <a16:creationId xmlns:a16="http://schemas.microsoft.com/office/drawing/2014/main" id="{F836BEBF-906F-4D74-A9B3-3DF18C4702B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133" name="Picture 132">
            <a:extLst>
              <a:ext uri="{FF2B5EF4-FFF2-40B4-BE49-F238E27FC236}">
                <a16:creationId xmlns:a16="http://schemas.microsoft.com/office/drawing/2014/main" id="{36722703-ACAC-41D8-89D7-36C254B7E2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134" name="Picture 133">
            <a:extLst>
              <a:ext uri="{FF2B5EF4-FFF2-40B4-BE49-F238E27FC236}">
                <a16:creationId xmlns:a16="http://schemas.microsoft.com/office/drawing/2014/main" id="{2002BED1-B796-461F-BFCB-95FB50A5AA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135" name="Picture 134">
            <a:extLst>
              <a:ext uri="{FF2B5EF4-FFF2-40B4-BE49-F238E27FC236}">
                <a16:creationId xmlns:a16="http://schemas.microsoft.com/office/drawing/2014/main" id="{9BD28F6D-1455-4311-B971-1A8A4D6E52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44</xdr:col>
      <xdr:colOff>92528</xdr:colOff>
      <xdr:row>12</xdr:row>
      <xdr:rowOff>161243</xdr:rowOff>
    </xdr:from>
    <xdr:to>
      <xdr:col>44</xdr:col>
      <xdr:colOff>625078</xdr:colOff>
      <xdr:row>51</xdr:row>
      <xdr:rowOff>23812</xdr:rowOff>
    </xdr:to>
    <xdr:sp macro="" textlink="">
      <xdr:nvSpPr>
        <xdr:cNvPr id="136" name="Rectangle 135">
          <a:extLst>
            <a:ext uri="{FF2B5EF4-FFF2-40B4-BE49-F238E27FC236}">
              <a16:creationId xmlns:a16="http://schemas.microsoft.com/office/drawing/2014/main" id="{B1BC3F57-1C3B-4133-B0AE-B7E7390EDABB}"/>
            </a:ext>
          </a:extLst>
        </xdr:cNvPr>
        <xdr:cNvSpPr/>
      </xdr:nvSpPr>
      <xdr:spPr>
        <a:xfrm>
          <a:off x="21316469" y="2447243"/>
          <a:ext cx="532550" cy="7504981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54</xdr:col>
      <xdr:colOff>6803</xdr:colOff>
      <xdr:row>12</xdr:row>
      <xdr:rowOff>158862</xdr:rowOff>
    </xdr:from>
    <xdr:to>
      <xdr:col>54</xdr:col>
      <xdr:colOff>506016</xdr:colOff>
      <xdr:row>51</xdr:row>
      <xdr:rowOff>17859</xdr:rowOff>
    </xdr:to>
    <xdr:sp macro="" textlink="">
      <xdr:nvSpPr>
        <xdr:cNvPr id="137" name="Rectangle 136">
          <a:extLst>
            <a:ext uri="{FF2B5EF4-FFF2-40B4-BE49-F238E27FC236}">
              <a16:creationId xmlns:a16="http://schemas.microsoft.com/office/drawing/2014/main" id="{9B340B2B-F560-4C26-8000-1605D1772D39}"/>
            </a:ext>
          </a:extLst>
        </xdr:cNvPr>
        <xdr:cNvSpPr/>
      </xdr:nvSpPr>
      <xdr:spPr>
        <a:xfrm>
          <a:off x="27618097" y="2444862"/>
          <a:ext cx="499213" cy="7501409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202410</xdr:colOff>
      <xdr:row>50</xdr:row>
      <xdr:rowOff>11906</xdr:rowOff>
    </xdr:from>
    <xdr:to>
      <xdr:col>54</xdr:col>
      <xdr:colOff>369094</xdr:colOff>
      <xdr:row>51</xdr:row>
      <xdr:rowOff>23812</xdr:rowOff>
    </xdr:to>
    <xdr:sp macro="" textlink="">
      <xdr:nvSpPr>
        <xdr:cNvPr id="138" name="Rectangle 137">
          <a:extLst>
            <a:ext uri="{FF2B5EF4-FFF2-40B4-BE49-F238E27FC236}">
              <a16:creationId xmlns:a16="http://schemas.microsoft.com/office/drawing/2014/main" id="{376C8ACA-4221-4F52-BA4E-06B9E80F40EE}"/>
            </a:ext>
          </a:extLst>
        </xdr:cNvPr>
        <xdr:cNvSpPr/>
      </xdr:nvSpPr>
      <xdr:spPr>
        <a:xfrm rot="16200000">
          <a:off x="24602167" y="6574002"/>
          <a:ext cx="202406" cy="6554037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80963</xdr:colOff>
      <xdr:row>0</xdr:row>
      <xdr:rowOff>71436</xdr:rowOff>
    </xdr:from>
    <xdr:to>
      <xdr:col>54</xdr:col>
      <xdr:colOff>511968</xdr:colOff>
      <xdr:row>51</xdr:row>
      <xdr:rowOff>28575</xdr:rowOff>
    </xdr:to>
    <xdr:sp macro="" textlink="">
      <xdr:nvSpPr>
        <xdr:cNvPr id="139" name="Rectangle 138">
          <a:extLst>
            <a:ext uri="{FF2B5EF4-FFF2-40B4-BE49-F238E27FC236}">
              <a16:creationId xmlns:a16="http://schemas.microsoft.com/office/drawing/2014/main" id="{DF3CCA3B-C5C0-4231-9028-5EBA67B338C9}"/>
            </a:ext>
          </a:extLst>
        </xdr:cNvPr>
        <xdr:cNvSpPr/>
      </xdr:nvSpPr>
      <xdr:spPr>
        <a:xfrm>
          <a:off x="21304904" y="71436"/>
          <a:ext cx="6818358" cy="9885551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44</xdr:col>
      <xdr:colOff>111260</xdr:colOff>
      <xdr:row>2</xdr:row>
      <xdr:rowOff>20308</xdr:rowOff>
    </xdr:from>
    <xdr:ext cx="2616522" cy="530362"/>
    <xdr:pic>
      <xdr:nvPicPr>
        <xdr:cNvPr id="140" name="Picture 139">
          <a:extLst>
            <a:ext uri="{FF2B5EF4-FFF2-40B4-BE49-F238E27FC236}">
              <a16:creationId xmlns:a16="http://schemas.microsoft.com/office/drawing/2014/main" id="{577CCABE-C876-4298-8D20-EFDC88D6A1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1335201" y="401308"/>
          <a:ext cx="2616522" cy="530362"/>
        </a:xfrm>
        <a:prstGeom prst="rect">
          <a:avLst/>
        </a:prstGeom>
      </xdr:spPr>
    </xdr:pic>
    <xdr:clientData/>
  </xdr:oneCellAnchor>
  <xdr:twoCellAnchor>
    <xdr:from>
      <xdr:col>44</xdr:col>
      <xdr:colOff>94383</xdr:colOff>
      <xdr:row>11</xdr:row>
      <xdr:rowOff>124067</xdr:rowOff>
    </xdr:from>
    <xdr:to>
      <xdr:col>54</xdr:col>
      <xdr:colOff>506557</xdr:colOff>
      <xdr:row>12</xdr:row>
      <xdr:rowOff>185307</xdr:rowOff>
    </xdr:to>
    <xdr:grpSp>
      <xdr:nvGrpSpPr>
        <xdr:cNvPr id="143" name="Group 142">
          <a:extLst>
            <a:ext uri="{FF2B5EF4-FFF2-40B4-BE49-F238E27FC236}">
              <a16:creationId xmlns:a16="http://schemas.microsoft.com/office/drawing/2014/main" id="{697D3AF4-8E00-4B35-8EC8-ABA245978F3B}"/>
            </a:ext>
          </a:extLst>
        </xdr:cNvPr>
        <xdr:cNvGrpSpPr/>
      </xdr:nvGrpSpPr>
      <xdr:grpSpPr>
        <a:xfrm>
          <a:off x="26954883" y="2219567"/>
          <a:ext cx="6484362" cy="251740"/>
          <a:chOff x="7272759" y="2590175"/>
          <a:chExt cx="6772276" cy="251740"/>
        </a:xfrm>
      </xdr:grpSpPr>
      <xdr:sp macro="" textlink="">
        <xdr:nvSpPr>
          <xdr:cNvPr id="144" name="Rectangle 143">
            <a:extLst>
              <a:ext uri="{FF2B5EF4-FFF2-40B4-BE49-F238E27FC236}">
                <a16:creationId xmlns:a16="http://schemas.microsoft.com/office/drawing/2014/main" id="{7487C630-652C-4D97-947A-1205B964E69D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45" name="Picture 144">
            <a:extLst>
              <a:ext uri="{FF2B5EF4-FFF2-40B4-BE49-F238E27FC236}">
                <a16:creationId xmlns:a16="http://schemas.microsoft.com/office/drawing/2014/main" id="{04556D0B-8224-4153-B0CD-1E2AB2044E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146" name="Picture 145">
            <a:extLst>
              <a:ext uri="{FF2B5EF4-FFF2-40B4-BE49-F238E27FC236}">
                <a16:creationId xmlns:a16="http://schemas.microsoft.com/office/drawing/2014/main" id="{7221AB18-F219-470E-85B1-4BB1CD2DB3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147" name="Picture 146">
            <a:extLst>
              <a:ext uri="{FF2B5EF4-FFF2-40B4-BE49-F238E27FC236}">
                <a16:creationId xmlns:a16="http://schemas.microsoft.com/office/drawing/2014/main" id="{9A69DF49-DF05-4E22-9B3A-F64A61125E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148" name="Picture 147">
            <a:extLst>
              <a:ext uri="{FF2B5EF4-FFF2-40B4-BE49-F238E27FC236}">
                <a16:creationId xmlns:a16="http://schemas.microsoft.com/office/drawing/2014/main" id="{6DCE81C7-7DBC-4A4A-A114-D2561AAD6C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44</xdr:col>
      <xdr:colOff>92528</xdr:colOff>
      <xdr:row>12</xdr:row>
      <xdr:rowOff>161243</xdr:rowOff>
    </xdr:from>
    <xdr:to>
      <xdr:col>44</xdr:col>
      <xdr:colOff>625078</xdr:colOff>
      <xdr:row>51</xdr:row>
      <xdr:rowOff>23812</xdr:rowOff>
    </xdr:to>
    <xdr:sp macro="" textlink="">
      <xdr:nvSpPr>
        <xdr:cNvPr id="149" name="Rectangle 148">
          <a:extLst>
            <a:ext uri="{FF2B5EF4-FFF2-40B4-BE49-F238E27FC236}">
              <a16:creationId xmlns:a16="http://schemas.microsoft.com/office/drawing/2014/main" id="{11866E3C-E653-46CC-8395-3BEE35699EC8}"/>
            </a:ext>
          </a:extLst>
        </xdr:cNvPr>
        <xdr:cNvSpPr/>
      </xdr:nvSpPr>
      <xdr:spPr>
        <a:xfrm>
          <a:off x="21316469" y="2447243"/>
          <a:ext cx="532550" cy="7504981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54</xdr:col>
      <xdr:colOff>6803</xdr:colOff>
      <xdr:row>12</xdr:row>
      <xdr:rowOff>158862</xdr:rowOff>
    </xdr:from>
    <xdr:to>
      <xdr:col>54</xdr:col>
      <xdr:colOff>506016</xdr:colOff>
      <xdr:row>51</xdr:row>
      <xdr:rowOff>17859</xdr:rowOff>
    </xdr:to>
    <xdr:sp macro="" textlink="">
      <xdr:nvSpPr>
        <xdr:cNvPr id="150" name="Rectangle 149">
          <a:extLst>
            <a:ext uri="{FF2B5EF4-FFF2-40B4-BE49-F238E27FC236}">
              <a16:creationId xmlns:a16="http://schemas.microsoft.com/office/drawing/2014/main" id="{274A5632-044C-41C5-A708-CA957AB7BDA4}"/>
            </a:ext>
          </a:extLst>
        </xdr:cNvPr>
        <xdr:cNvSpPr/>
      </xdr:nvSpPr>
      <xdr:spPr>
        <a:xfrm>
          <a:off x="27618097" y="2444862"/>
          <a:ext cx="499213" cy="7501409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202410</xdr:colOff>
      <xdr:row>50</xdr:row>
      <xdr:rowOff>11906</xdr:rowOff>
    </xdr:from>
    <xdr:to>
      <xdr:col>54</xdr:col>
      <xdr:colOff>369094</xdr:colOff>
      <xdr:row>51</xdr:row>
      <xdr:rowOff>23812</xdr:rowOff>
    </xdr:to>
    <xdr:sp macro="" textlink="">
      <xdr:nvSpPr>
        <xdr:cNvPr id="151" name="Rectangle 150">
          <a:extLst>
            <a:ext uri="{FF2B5EF4-FFF2-40B4-BE49-F238E27FC236}">
              <a16:creationId xmlns:a16="http://schemas.microsoft.com/office/drawing/2014/main" id="{D86A720C-4489-4C30-8B18-DD0823D64DBD}"/>
            </a:ext>
          </a:extLst>
        </xdr:cNvPr>
        <xdr:cNvSpPr/>
      </xdr:nvSpPr>
      <xdr:spPr>
        <a:xfrm rot="16200000">
          <a:off x="24602167" y="6574002"/>
          <a:ext cx="202406" cy="6554037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278076</xdr:colOff>
      <xdr:row>2</xdr:row>
      <xdr:rowOff>79720</xdr:rowOff>
    </xdr:from>
    <xdr:to>
      <xdr:col>10</xdr:col>
      <xdr:colOff>392168</xdr:colOff>
      <xdr:row>4</xdr:row>
      <xdr:rowOff>21311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788EB6BC-E67A-42AA-9229-55BEE44EFC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162619" y="460720"/>
          <a:ext cx="2482919" cy="322591"/>
        </a:xfrm>
        <a:prstGeom prst="rect">
          <a:avLst/>
        </a:prstGeom>
      </xdr:spPr>
    </xdr:pic>
    <xdr:clientData/>
  </xdr:twoCellAnchor>
  <xdr:twoCellAnchor editAs="oneCell">
    <xdr:from>
      <xdr:col>5</xdr:col>
      <xdr:colOff>599884</xdr:colOff>
      <xdr:row>26</xdr:row>
      <xdr:rowOff>53578</xdr:rowOff>
    </xdr:from>
    <xdr:to>
      <xdr:col>6</xdr:col>
      <xdr:colOff>581785</xdr:colOff>
      <xdr:row>26</xdr:row>
      <xdr:rowOff>166128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E2C97FB-E80C-4381-879C-FF938DD86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850290" y="5042297"/>
          <a:ext cx="589120" cy="112550"/>
        </a:xfrm>
        <a:prstGeom prst="rect">
          <a:avLst/>
        </a:prstGeom>
      </xdr:spPr>
    </xdr:pic>
    <xdr:clientData/>
  </xdr:twoCellAnchor>
  <xdr:twoCellAnchor editAs="oneCell">
    <xdr:from>
      <xdr:col>5</xdr:col>
      <xdr:colOff>263879</xdr:colOff>
      <xdr:row>27</xdr:row>
      <xdr:rowOff>30391</xdr:rowOff>
    </xdr:from>
    <xdr:to>
      <xdr:col>6</xdr:col>
      <xdr:colOff>564562</xdr:colOff>
      <xdr:row>27</xdr:row>
      <xdr:rowOff>173076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650AF8BA-28BD-49DB-BCD1-0B7800E5C7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528655" y="5193598"/>
          <a:ext cx="911597" cy="142685"/>
        </a:xfrm>
        <a:prstGeom prst="rect">
          <a:avLst/>
        </a:prstGeom>
      </xdr:spPr>
    </xdr:pic>
    <xdr:clientData/>
  </xdr:twoCellAnchor>
  <xdr:twoCellAnchor editAs="oneCell">
    <xdr:from>
      <xdr:col>4</xdr:col>
      <xdr:colOff>464794</xdr:colOff>
      <xdr:row>28</xdr:row>
      <xdr:rowOff>28105</xdr:rowOff>
    </xdr:from>
    <xdr:to>
      <xdr:col>6</xdr:col>
      <xdr:colOff>558279</xdr:colOff>
      <xdr:row>28</xdr:row>
      <xdr:rowOff>171440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AA6BEDAC-0DE8-4942-85AB-5541BB7FA5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113209" y="5389983"/>
          <a:ext cx="1310826" cy="143335"/>
        </a:xfrm>
        <a:prstGeom prst="rect">
          <a:avLst/>
        </a:prstGeom>
      </xdr:spPr>
    </xdr:pic>
    <xdr:clientData/>
  </xdr:twoCellAnchor>
  <xdr:twoCellAnchor editAs="oneCell">
    <xdr:from>
      <xdr:col>4</xdr:col>
      <xdr:colOff>143860</xdr:colOff>
      <xdr:row>18</xdr:row>
      <xdr:rowOff>115976</xdr:rowOff>
    </xdr:from>
    <xdr:to>
      <xdr:col>8</xdr:col>
      <xdr:colOff>255534</xdr:colOff>
      <xdr:row>19</xdr:row>
      <xdr:rowOff>57648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55B41ECA-A9E4-4D82-8779-161769FC99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22919" y="3556182"/>
          <a:ext cx="2666615" cy="132172"/>
        </a:xfrm>
        <a:prstGeom prst="rect">
          <a:avLst/>
        </a:prstGeom>
      </xdr:spPr>
    </xdr:pic>
    <xdr:clientData/>
  </xdr:twoCellAnchor>
  <xdr:twoCellAnchor editAs="absolute">
    <xdr:from>
      <xdr:col>17</xdr:col>
      <xdr:colOff>424264</xdr:colOff>
      <xdr:row>2</xdr:row>
      <xdr:rowOff>72680</xdr:rowOff>
    </xdr:from>
    <xdr:to>
      <xdr:col>21</xdr:col>
      <xdr:colOff>466919</xdr:colOff>
      <xdr:row>4</xdr:row>
      <xdr:rowOff>14271</xdr:rowOff>
    </xdr:to>
    <xdr:pic>
      <xdr:nvPicPr>
        <xdr:cNvPr id="128" name="Picture 127">
          <a:extLst>
            <a:ext uri="{FF2B5EF4-FFF2-40B4-BE49-F238E27FC236}">
              <a16:creationId xmlns:a16="http://schemas.microsoft.com/office/drawing/2014/main" id="{2BC8D5A3-CBFD-42D6-B66F-A4F4543949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0968025" y="453680"/>
          <a:ext cx="2494307" cy="322591"/>
        </a:xfrm>
        <a:prstGeom prst="rect">
          <a:avLst/>
        </a:prstGeom>
      </xdr:spPr>
    </xdr:pic>
    <xdr:clientData/>
  </xdr:twoCellAnchor>
  <xdr:twoCellAnchor editAs="absolute">
    <xdr:from>
      <xdr:col>28</xdr:col>
      <xdr:colOff>449320</xdr:colOff>
      <xdr:row>2</xdr:row>
      <xdr:rowOff>39270</xdr:rowOff>
    </xdr:from>
    <xdr:to>
      <xdr:col>32</xdr:col>
      <xdr:colOff>491975</xdr:colOff>
      <xdr:row>3</xdr:row>
      <xdr:rowOff>171361</xdr:rowOff>
    </xdr:to>
    <xdr:pic>
      <xdr:nvPicPr>
        <xdr:cNvPr id="141" name="Picture 140">
          <a:extLst>
            <a:ext uri="{FF2B5EF4-FFF2-40B4-BE49-F238E27FC236}">
              <a16:creationId xmlns:a16="http://schemas.microsoft.com/office/drawing/2014/main" id="{495E1B36-E6A7-494A-9147-0D48417831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538291" y="420270"/>
          <a:ext cx="2463125" cy="322591"/>
        </a:xfrm>
        <a:prstGeom prst="rect">
          <a:avLst/>
        </a:prstGeom>
      </xdr:spPr>
    </xdr:pic>
    <xdr:clientData/>
  </xdr:twoCellAnchor>
  <xdr:twoCellAnchor editAs="absolute">
    <xdr:from>
      <xdr:col>39</xdr:col>
      <xdr:colOff>442280</xdr:colOff>
      <xdr:row>2</xdr:row>
      <xdr:rowOff>45385</xdr:rowOff>
    </xdr:from>
    <xdr:to>
      <xdr:col>43</xdr:col>
      <xdr:colOff>484935</xdr:colOff>
      <xdr:row>3</xdr:row>
      <xdr:rowOff>177476</xdr:rowOff>
    </xdr:to>
    <xdr:pic>
      <xdr:nvPicPr>
        <xdr:cNvPr id="157" name="Picture 156">
          <a:extLst>
            <a:ext uri="{FF2B5EF4-FFF2-40B4-BE49-F238E27FC236}">
              <a16:creationId xmlns:a16="http://schemas.microsoft.com/office/drawing/2014/main" id="{02A7F77D-493F-4F14-84C1-72781F588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4187545" y="426385"/>
          <a:ext cx="2463125" cy="322591"/>
        </a:xfrm>
        <a:prstGeom prst="rect">
          <a:avLst/>
        </a:prstGeom>
      </xdr:spPr>
    </xdr:pic>
    <xdr:clientData/>
  </xdr:twoCellAnchor>
  <xdr:twoCellAnchor editAs="absolute">
    <xdr:from>
      <xdr:col>50</xdr:col>
      <xdr:colOff>446293</xdr:colOff>
      <xdr:row>2</xdr:row>
      <xdr:rowOff>69526</xdr:rowOff>
    </xdr:from>
    <xdr:to>
      <xdr:col>54</xdr:col>
      <xdr:colOff>488948</xdr:colOff>
      <xdr:row>4</xdr:row>
      <xdr:rowOff>11117</xdr:rowOff>
    </xdr:to>
    <xdr:pic>
      <xdr:nvPicPr>
        <xdr:cNvPr id="161" name="Picture 160">
          <a:extLst>
            <a:ext uri="{FF2B5EF4-FFF2-40B4-BE49-F238E27FC236}">
              <a16:creationId xmlns:a16="http://schemas.microsoft.com/office/drawing/2014/main" id="{4A8956D7-8E74-4E86-9DCA-0E0234017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0847852" y="450526"/>
          <a:ext cx="2463125" cy="322591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6</xdr:row>
      <xdr:rowOff>161059</xdr:rowOff>
    </xdr:from>
    <xdr:to>
      <xdr:col>54</xdr:col>
      <xdr:colOff>499110</xdr:colOff>
      <xdr:row>10</xdr:row>
      <xdr:rowOff>173182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9E663C09-62EA-499C-BC7C-72B42096167C}"/>
            </a:ext>
          </a:extLst>
        </xdr:cNvPr>
        <xdr:cNvGrpSpPr/>
      </xdr:nvGrpSpPr>
      <xdr:grpSpPr>
        <a:xfrm>
          <a:off x="26955750" y="1304059"/>
          <a:ext cx="6476048" cy="774123"/>
          <a:chOff x="26921114" y="1321377"/>
          <a:chExt cx="6451022" cy="774123"/>
        </a:xfrm>
      </xdr:grpSpPr>
      <xdr:sp macro="" textlink="">
        <xdr:nvSpPr>
          <xdr:cNvPr id="152" name="Rectangle 151">
            <a:extLst>
              <a:ext uri="{FF2B5EF4-FFF2-40B4-BE49-F238E27FC236}">
                <a16:creationId xmlns:a16="http://schemas.microsoft.com/office/drawing/2014/main" id="{E5B377A4-6F0E-492A-9C90-0DDC2C9A1806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56" name="Picture 155">
            <a:extLst>
              <a:ext uri="{FF2B5EF4-FFF2-40B4-BE49-F238E27FC236}">
                <a16:creationId xmlns:a16="http://schemas.microsoft.com/office/drawing/2014/main" id="{0E009363-F046-4FB2-B335-BACA0F0C8A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98563</xdr:colOff>
      <xdr:row>6</xdr:row>
      <xdr:rowOff>180938</xdr:rowOff>
    </xdr:from>
    <xdr:to>
      <xdr:col>21</xdr:col>
      <xdr:colOff>502423</xdr:colOff>
      <xdr:row>11</xdr:row>
      <xdr:rowOff>2561</xdr:rowOff>
    </xdr:to>
    <xdr:grpSp>
      <xdr:nvGrpSpPr>
        <xdr:cNvPr id="158" name="Group 157">
          <a:extLst>
            <a:ext uri="{FF2B5EF4-FFF2-40B4-BE49-F238E27FC236}">
              <a16:creationId xmlns:a16="http://schemas.microsoft.com/office/drawing/2014/main" id="{D1544E43-612D-4DB7-AF6F-6DC8EB3758F4}"/>
            </a:ext>
          </a:extLst>
        </xdr:cNvPr>
        <xdr:cNvGrpSpPr/>
      </xdr:nvGrpSpPr>
      <xdr:grpSpPr>
        <a:xfrm>
          <a:off x="6920844" y="1323938"/>
          <a:ext cx="6476048" cy="774123"/>
          <a:chOff x="26921114" y="1321377"/>
          <a:chExt cx="6451022" cy="774123"/>
        </a:xfrm>
      </xdr:grpSpPr>
      <xdr:sp macro="" textlink="">
        <xdr:nvSpPr>
          <xdr:cNvPr id="159" name="Rectangle 158">
            <a:extLst>
              <a:ext uri="{FF2B5EF4-FFF2-40B4-BE49-F238E27FC236}">
                <a16:creationId xmlns:a16="http://schemas.microsoft.com/office/drawing/2014/main" id="{5AF094D3-0081-422F-B23A-73C343A76FB5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60" name="Picture 159">
            <a:extLst>
              <a:ext uri="{FF2B5EF4-FFF2-40B4-BE49-F238E27FC236}">
                <a16:creationId xmlns:a16="http://schemas.microsoft.com/office/drawing/2014/main" id="{264B0D6C-C5C0-4423-93DB-C882BC90F4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90280</xdr:colOff>
      <xdr:row>6</xdr:row>
      <xdr:rowOff>172654</xdr:rowOff>
    </xdr:from>
    <xdr:to>
      <xdr:col>32</xdr:col>
      <xdr:colOff>494139</xdr:colOff>
      <xdr:row>10</xdr:row>
      <xdr:rowOff>184777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BF115A21-1C7D-4997-B347-4D1A687F990E}"/>
            </a:ext>
          </a:extLst>
        </xdr:cNvPr>
        <xdr:cNvGrpSpPr/>
      </xdr:nvGrpSpPr>
      <xdr:grpSpPr>
        <a:xfrm>
          <a:off x="13591968" y="1315654"/>
          <a:ext cx="6476046" cy="774123"/>
          <a:chOff x="26921114" y="1321377"/>
          <a:chExt cx="6451022" cy="774123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E3292F51-6B72-4177-96D5-829AEE743235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64" name="Picture 163">
            <a:extLst>
              <a:ext uri="{FF2B5EF4-FFF2-40B4-BE49-F238E27FC236}">
                <a16:creationId xmlns:a16="http://schemas.microsoft.com/office/drawing/2014/main" id="{60A608DC-E2D0-4D9F-AEF5-8B48FD36F76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101874</xdr:colOff>
      <xdr:row>6</xdr:row>
      <xdr:rowOff>159402</xdr:rowOff>
    </xdr:from>
    <xdr:to>
      <xdr:col>43</xdr:col>
      <xdr:colOff>505734</xdr:colOff>
      <xdr:row>10</xdr:row>
      <xdr:rowOff>171525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9BEBABF4-636D-4BCC-9085-8B10D933F6CB}"/>
            </a:ext>
          </a:extLst>
        </xdr:cNvPr>
        <xdr:cNvGrpSpPr/>
      </xdr:nvGrpSpPr>
      <xdr:grpSpPr>
        <a:xfrm>
          <a:off x="20282968" y="1302402"/>
          <a:ext cx="6476047" cy="774123"/>
          <a:chOff x="26921114" y="1321377"/>
          <a:chExt cx="6451022" cy="774123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88E8FEFC-212A-45D8-A859-B9CB4322B920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67" name="Picture 166">
            <a:extLst>
              <a:ext uri="{FF2B5EF4-FFF2-40B4-BE49-F238E27FC236}">
                <a16:creationId xmlns:a16="http://schemas.microsoft.com/office/drawing/2014/main" id="{8B0DD40F-D7AD-4676-BA6C-A509586366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509689</xdr:colOff>
      <xdr:row>21</xdr:row>
      <xdr:rowOff>190506</xdr:rowOff>
    </xdr:from>
    <xdr:to>
      <xdr:col>10</xdr:col>
      <xdr:colOff>455542</xdr:colOff>
      <xdr:row>29</xdr:row>
      <xdr:rowOff>4648</xdr:rowOff>
    </xdr:to>
    <xdr:sp macro="" textlink="">
      <xdr:nvSpPr>
        <xdr:cNvPr id="168" name="Rectangle 167">
          <a:extLst>
            <a:ext uri="{FF2B5EF4-FFF2-40B4-BE49-F238E27FC236}">
              <a16:creationId xmlns:a16="http://schemas.microsoft.com/office/drawing/2014/main" id="{845567B3-EE8F-4C27-A76A-64D631B2A154}"/>
            </a:ext>
          </a:extLst>
        </xdr:cNvPr>
        <xdr:cNvSpPr/>
      </xdr:nvSpPr>
      <xdr:spPr>
        <a:xfrm rot="5400000">
          <a:off x="5763185" y="4638571"/>
          <a:ext cx="1356727" cy="480183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6</xdr:col>
      <xdr:colOff>32844</xdr:colOff>
      <xdr:row>25</xdr:row>
      <xdr:rowOff>31289</xdr:rowOff>
    </xdr:from>
    <xdr:to>
      <xdr:col>6</xdr:col>
      <xdr:colOff>543028</xdr:colOff>
      <xdr:row>25</xdr:row>
      <xdr:rowOff>177055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FD45B88-C573-4BD2-A3DF-DCC4378AF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3908534" y="4813496"/>
          <a:ext cx="510184" cy="145766"/>
        </a:xfrm>
        <a:prstGeom prst="rect">
          <a:avLst/>
        </a:prstGeom>
      </xdr:spPr>
    </xdr:pic>
    <xdr:clientData/>
  </xdr:twoCellAnchor>
  <xdr:twoCellAnchor editAs="oneCell">
    <xdr:from>
      <xdr:col>3</xdr:col>
      <xdr:colOff>271096</xdr:colOff>
      <xdr:row>23</xdr:row>
      <xdr:rowOff>22531</xdr:rowOff>
    </xdr:from>
    <xdr:to>
      <xdr:col>6</xdr:col>
      <xdr:colOff>563078</xdr:colOff>
      <xdr:row>23</xdr:row>
      <xdr:rowOff>183172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AEFBBF3B-E623-4B5F-92C2-D91DC9DE65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183423" y="4418685"/>
          <a:ext cx="2240943" cy="160641"/>
        </a:xfrm>
        <a:prstGeom prst="rect">
          <a:avLst/>
        </a:prstGeom>
      </xdr:spPr>
    </xdr:pic>
    <xdr:clientData/>
  </xdr:twoCellAnchor>
  <xdr:twoCellAnchor editAs="oneCell">
    <xdr:from>
      <xdr:col>3</xdr:col>
      <xdr:colOff>278422</xdr:colOff>
      <xdr:row>24</xdr:row>
      <xdr:rowOff>27719</xdr:rowOff>
    </xdr:from>
    <xdr:to>
      <xdr:col>6</xdr:col>
      <xdr:colOff>559496</xdr:colOff>
      <xdr:row>24</xdr:row>
      <xdr:rowOff>184671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B35F2177-25D8-4298-A53A-7981D04751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190749" y="4614373"/>
          <a:ext cx="2230035" cy="156952"/>
        </a:xfrm>
        <a:prstGeom prst="rect">
          <a:avLst/>
        </a:prstGeom>
      </xdr:spPr>
    </xdr:pic>
    <xdr:clientData/>
  </xdr:twoCellAnchor>
  <xdr:twoCellAnchor editAs="oneCell">
    <xdr:from>
      <xdr:col>1</xdr:col>
      <xdr:colOff>395652</xdr:colOff>
      <xdr:row>22</xdr:row>
      <xdr:rowOff>45447</xdr:rowOff>
    </xdr:from>
    <xdr:to>
      <xdr:col>6</xdr:col>
      <xdr:colOff>580922</xdr:colOff>
      <xdr:row>23</xdr:row>
      <xdr:rowOff>28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92E64DBD-CA49-4CD9-A85E-088E833682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03787" y="4251101"/>
          <a:ext cx="3438423" cy="145081"/>
        </a:xfrm>
        <a:prstGeom prst="rect">
          <a:avLst/>
        </a:prstGeom>
      </xdr:spPr>
    </xdr:pic>
    <xdr:clientData/>
  </xdr:twoCellAnchor>
  <xdr:twoCellAnchor>
    <xdr:from>
      <xdr:col>0</xdr:col>
      <xdr:colOff>70757</xdr:colOff>
      <xdr:row>29</xdr:row>
      <xdr:rowOff>5443</xdr:rowOff>
    </xdr:from>
    <xdr:to>
      <xdr:col>10</xdr:col>
      <xdr:colOff>457201</xdr:colOff>
      <xdr:row>29</xdr:row>
      <xdr:rowOff>103415</xdr:rowOff>
    </xdr:to>
    <xdr:sp macro="" textlink="">
      <xdr:nvSpPr>
        <xdr:cNvPr id="142" name="Rectangle 141">
          <a:extLst>
            <a:ext uri="{FF2B5EF4-FFF2-40B4-BE49-F238E27FC236}">
              <a16:creationId xmlns:a16="http://schemas.microsoft.com/office/drawing/2014/main" id="{6AE812E4-BC22-460B-BD1C-F0E26B17730F}"/>
            </a:ext>
          </a:extLst>
        </xdr:cNvPr>
        <xdr:cNvSpPr/>
      </xdr:nvSpPr>
      <xdr:spPr>
        <a:xfrm>
          <a:off x="70757" y="5565662"/>
          <a:ext cx="6601507" cy="979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65314</xdr:colOff>
      <xdr:row>28</xdr:row>
      <xdr:rowOff>174172</xdr:rowOff>
    </xdr:from>
    <xdr:to>
      <xdr:col>6</xdr:col>
      <xdr:colOff>598715</xdr:colOff>
      <xdr:row>29</xdr:row>
      <xdr:rowOff>32657</xdr:rowOff>
    </xdr:to>
    <xdr:sp macro="" textlink="">
      <xdr:nvSpPr>
        <xdr:cNvPr id="153" name="Rectangle 152">
          <a:extLst>
            <a:ext uri="{FF2B5EF4-FFF2-40B4-BE49-F238E27FC236}">
              <a16:creationId xmlns:a16="http://schemas.microsoft.com/office/drawing/2014/main" id="{A60E4035-10D7-4213-8DCF-0ADEB0BCF0AF}"/>
            </a:ext>
          </a:extLst>
        </xdr:cNvPr>
        <xdr:cNvSpPr/>
      </xdr:nvSpPr>
      <xdr:spPr>
        <a:xfrm>
          <a:off x="65314" y="5540829"/>
          <a:ext cx="4403272" cy="48985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559594</xdr:colOff>
      <xdr:row>10</xdr:row>
      <xdr:rowOff>47625</xdr:rowOff>
    </xdr:from>
    <xdr:to>
      <xdr:col>9</xdr:col>
      <xdr:colOff>357187</xdr:colOff>
      <xdr:row>15</xdr:row>
      <xdr:rowOff>89608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277A55D4-635F-4CCA-AA7B-C64FF4476C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559594" y="1952625"/>
          <a:ext cx="5476874" cy="1006389"/>
        </a:xfrm>
        <a:prstGeom prst="rect">
          <a:avLst/>
        </a:prstGeom>
      </xdr:spPr>
    </xdr:pic>
    <xdr:clientData/>
  </xdr:twoCellAnchor>
  <xdr:twoCellAnchor editAs="oneCell">
    <xdr:from>
      <xdr:col>12</xdr:col>
      <xdr:colOff>154782</xdr:colOff>
      <xdr:row>7</xdr:row>
      <xdr:rowOff>95250</xdr:rowOff>
    </xdr:from>
    <xdr:to>
      <xdr:col>20</xdr:col>
      <xdr:colOff>385190</xdr:colOff>
      <xdr:row>10</xdr:row>
      <xdr:rowOff>83344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6A18C273-903D-49B5-ABB7-BE70199E5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7584282" y="1428750"/>
          <a:ext cx="5088158" cy="559594"/>
        </a:xfrm>
        <a:prstGeom prst="rect">
          <a:avLst/>
        </a:prstGeom>
      </xdr:spPr>
    </xdr:pic>
    <xdr:clientData/>
  </xdr:twoCellAnchor>
  <xdr:twoCellAnchor editAs="oneCell">
    <xdr:from>
      <xdr:col>23</xdr:col>
      <xdr:colOff>128588</xdr:colOff>
      <xdr:row>7</xdr:row>
      <xdr:rowOff>80963</xdr:rowOff>
    </xdr:from>
    <xdr:to>
      <xdr:col>31</xdr:col>
      <xdr:colOff>358996</xdr:colOff>
      <xdr:row>10</xdr:row>
      <xdr:rowOff>69057</xdr:rowOff>
    </xdr:to>
    <xdr:pic>
      <xdr:nvPicPr>
        <xdr:cNvPr id="129" name="Picture 128">
          <a:extLst>
            <a:ext uri="{FF2B5EF4-FFF2-40B4-BE49-F238E27FC236}">
              <a16:creationId xmlns:a16="http://schemas.microsoft.com/office/drawing/2014/main" id="{6A0C9184-F37A-4F25-9143-A8A20F82C0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4237494" y="1414463"/>
          <a:ext cx="5088158" cy="559594"/>
        </a:xfrm>
        <a:prstGeom prst="rect">
          <a:avLst/>
        </a:prstGeom>
      </xdr:spPr>
    </xdr:pic>
    <xdr:clientData/>
  </xdr:twoCellAnchor>
  <xdr:twoCellAnchor editAs="oneCell">
    <xdr:from>
      <xdr:col>34</xdr:col>
      <xdr:colOff>114299</xdr:colOff>
      <xdr:row>7</xdr:row>
      <xdr:rowOff>66675</xdr:rowOff>
    </xdr:from>
    <xdr:to>
      <xdr:col>42</xdr:col>
      <xdr:colOff>344707</xdr:colOff>
      <xdr:row>10</xdr:row>
      <xdr:rowOff>54769</xdr:rowOff>
    </xdr:to>
    <xdr:pic>
      <xdr:nvPicPr>
        <xdr:cNvPr id="154" name="Picture 153">
          <a:extLst>
            <a:ext uri="{FF2B5EF4-FFF2-40B4-BE49-F238E27FC236}">
              <a16:creationId xmlns:a16="http://schemas.microsoft.com/office/drawing/2014/main" id="{953F83D1-6B54-489F-8C22-B5EAFF7C5D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0902612" y="1400175"/>
          <a:ext cx="5088158" cy="559594"/>
        </a:xfrm>
        <a:prstGeom prst="rect">
          <a:avLst/>
        </a:prstGeom>
      </xdr:spPr>
    </xdr:pic>
    <xdr:clientData/>
  </xdr:twoCellAnchor>
  <xdr:twoCellAnchor editAs="oneCell">
    <xdr:from>
      <xdr:col>45</xdr:col>
      <xdr:colOff>183356</xdr:colOff>
      <xdr:row>7</xdr:row>
      <xdr:rowOff>76200</xdr:rowOff>
    </xdr:from>
    <xdr:to>
      <xdr:col>53</xdr:col>
      <xdr:colOff>413764</xdr:colOff>
      <xdr:row>10</xdr:row>
      <xdr:rowOff>64294</xdr:rowOff>
    </xdr:to>
    <xdr:pic>
      <xdr:nvPicPr>
        <xdr:cNvPr id="155" name="Picture 154">
          <a:extLst>
            <a:ext uri="{FF2B5EF4-FFF2-40B4-BE49-F238E27FC236}">
              <a16:creationId xmlns:a16="http://schemas.microsoft.com/office/drawing/2014/main" id="{CD03708C-C877-4CF8-A86E-0F9F35C48F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7651075" y="1409700"/>
          <a:ext cx="5088158" cy="559594"/>
        </a:xfrm>
        <a:prstGeom prst="rect">
          <a:avLst/>
        </a:prstGeom>
      </xdr:spPr>
    </xdr:pic>
    <xdr:clientData/>
  </xdr:twoCellAnchor>
  <xdr:twoCellAnchor editAs="oneCell">
    <xdr:from>
      <xdr:col>0</xdr:col>
      <xdr:colOff>583405</xdr:colOff>
      <xdr:row>10</xdr:row>
      <xdr:rowOff>119061</xdr:rowOff>
    </xdr:from>
    <xdr:to>
      <xdr:col>4</xdr:col>
      <xdr:colOff>92123</xdr:colOff>
      <xdr:row>11</xdr:row>
      <xdr:rowOff>130968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C5BC3D58-F856-4A51-B473-8581E0403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83405" y="2024061"/>
          <a:ext cx="2151906" cy="202407"/>
        </a:xfrm>
        <a:prstGeom prst="rect">
          <a:avLst/>
        </a:prstGeom>
      </xdr:spPr>
    </xdr:pic>
    <xdr:clientData/>
  </xdr:twoCellAnchor>
  <xdr:twoCellAnchor editAs="oneCell">
    <xdr:from>
      <xdr:col>5</xdr:col>
      <xdr:colOff>261938</xdr:colOff>
      <xdr:row>10</xdr:row>
      <xdr:rowOff>107156</xdr:rowOff>
    </xdr:from>
    <xdr:to>
      <xdr:col>7</xdr:col>
      <xdr:colOff>123975</xdr:colOff>
      <xdr:row>11</xdr:row>
      <xdr:rowOff>78604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CDA85940-4D46-4BEE-AE37-B7B5336334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3512344" y="2012156"/>
          <a:ext cx="1076475" cy="161948"/>
        </a:xfrm>
        <a:prstGeom prst="rect">
          <a:avLst/>
        </a:prstGeom>
      </xdr:spPr>
    </xdr:pic>
    <xdr:clientData/>
  </xdr:twoCellAnchor>
  <xdr:twoCellAnchor editAs="oneCell">
    <xdr:from>
      <xdr:col>17</xdr:col>
      <xdr:colOff>11907</xdr:colOff>
      <xdr:row>7</xdr:row>
      <xdr:rowOff>107156</xdr:rowOff>
    </xdr:from>
    <xdr:to>
      <xdr:col>18</xdr:col>
      <xdr:colOff>481163</xdr:colOff>
      <xdr:row>8</xdr:row>
      <xdr:rowOff>78604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98FC7BAF-99AA-44C5-8A77-7BD048E971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477501" y="1440656"/>
          <a:ext cx="1076475" cy="161948"/>
        </a:xfrm>
        <a:prstGeom prst="rect">
          <a:avLst/>
        </a:prstGeom>
      </xdr:spPr>
    </xdr:pic>
    <xdr:clientData/>
  </xdr:twoCellAnchor>
  <xdr:twoCellAnchor editAs="oneCell">
    <xdr:from>
      <xdr:col>27</xdr:col>
      <xdr:colOff>604838</xdr:colOff>
      <xdr:row>7</xdr:row>
      <xdr:rowOff>92869</xdr:rowOff>
    </xdr:from>
    <xdr:to>
      <xdr:col>29</xdr:col>
      <xdr:colOff>466875</xdr:colOff>
      <xdr:row>8</xdr:row>
      <xdr:rowOff>64317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A0658352-8B38-4320-9597-F7A47CE018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7142619" y="1426369"/>
          <a:ext cx="1076475" cy="161948"/>
        </a:xfrm>
        <a:prstGeom prst="rect">
          <a:avLst/>
        </a:prstGeom>
      </xdr:spPr>
    </xdr:pic>
    <xdr:clientData/>
  </xdr:twoCellAnchor>
  <xdr:twoCellAnchor editAs="oneCell">
    <xdr:from>
      <xdr:col>38</xdr:col>
      <xdr:colOff>578643</xdr:colOff>
      <xdr:row>7</xdr:row>
      <xdr:rowOff>78581</xdr:rowOff>
    </xdr:from>
    <xdr:to>
      <xdr:col>40</xdr:col>
      <xdr:colOff>440681</xdr:colOff>
      <xdr:row>8</xdr:row>
      <xdr:rowOff>50029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8B0CD965-651D-41B7-88D6-1CAE8C93E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3795831" y="1412081"/>
          <a:ext cx="1076475" cy="161948"/>
        </a:xfrm>
        <a:prstGeom prst="rect">
          <a:avLst/>
        </a:prstGeom>
      </xdr:spPr>
    </xdr:pic>
    <xdr:clientData/>
  </xdr:twoCellAnchor>
  <xdr:twoCellAnchor editAs="oneCell">
    <xdr:from>
      <xdr:col>50</xdr:col>
      <xdr:colOff>42343</xdr:colOff>
      <xdr:row>7</xdr:row>
      <xdr:rowOff>64152</xdr:rowOff>
    </xdr:from>
    <xdr:to>
      <xdr:col>51</xdr:col>
      <xdr:colOff>511600</xdr:colOff>
      <xdr:row>8</xdr:row>
      <xdr:rowOff>35600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DDDFC788-BBB9-4EDC-AC2D-5BD53C71F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30546156" y="1397652"/>
          <a:ext cx="1076475" cy="161948"/>
        </a:xfrm>
        <a:prstGeom prst="rect">
          <a:avLst/>
        </a:prstGeom>
      </xdr:spPr>
    </xdr:pic>
    <xdr:clientData/>
  </xdr:twoCellAnchor>
  <xdr:twoCellAnchor editAs="oneCell">
    <xdr:from>
      <xdr:col>45</xdr:col>
      <xdr:colOff>166688</xdr:colOff>
      <xdr:row>7</xdr:row>
      <xdr:rowOff>71437</xdr:rowOff>
    </xdr:from>
    <xdr:to>
      <xdr:col>49</xdr:col>
      <xdr:colOff>186032</xdr:colOff>
      <xdr:row>8</xdr:row>
      <xdr:rowOff>130968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E5FC6851-86C9-4D9C-9812-3F9160B7F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7634407" y="1404937"/>
          <a:ext cx="2448219" cy="250031"/>
        </a:xfrm>
        <a:prstGeom prst="rect">
          <a:avLst/>
        </a:prstGeom>
      </xdr:spPr>
    </xdr:pic>
    <xdr:clientData/>
  </xdr:twoCellAnchor>
  <xdr:twoCellAnchor editAs="oneCell">
    <xdr:from>
      <xdr:col>34</xdr:col>
      <xdr:colOff>128588</xdr:colOff>
      <xdr:row>7</xdr:row>
      <xdr:rowOff>57150</xdr:rowOff>
    </xdr:from>
    <xdr:to>
      <xdr:col>38</xdr:col>
      <xdr:colOff>147932</xdr:colOff>
      <xdr:row>8</xdr:row>
      <xdr:rowOff>116681</xdr:rowOff>
    </xdr:to>
    <xdr:pic>
      <xdr:nvPicPr>
        <xdr:cNvPr id="170" name="Picture 169">
          <a:extLst>
            <a:ext uri="{FF2B5EF4-FFF2-40B4-BE49-F238E27FC236}">
              <a16:creationId xmlns:a16="http://schemas.microsoft.com/office/drawing/2014/main" id="{D9A4683D-43A0-4D31-AC37-4B0DD16EC8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0916901" y="1390650"/>
          <a:ext cx="2448219" cy="250031"/>
        </a:xfrm>
        <a:prstGeom prst="rect">
          <a:avLst/>
        </a:prstGeom>
      </xdr:spPr>
    </xdr:pic>
    <xdr:clientData/>
  </xdr:twoCellAnchor>
  <xdr:twoCellAnchor editAs="oneCell">
    <xdr:from>
      <xdr:col>23</xdr:col>
      <xdr:colOff>138114</xdr:colOff>
      <xdr:row>7</xdr:row>
      <xdr:rowOff>90487</xdr:rowOff>
    </xdr:from>
    <xdr:to>
      <xdr:col>27</xdr:col>
      <xdr:colOff>157458</xdr:colOff>
      <xdr:row>8</xdr:row>
      <xdr:rowOff>150018</xdr:rowOff>
    </xdr:to>
    <xdr:pic>
      <xdr:nvPicPr>
        <xdr:cNvPr id="171" name="Picture 170">
          <a:extLst>
            <a:ext uri="{FF2B5EF4-FFF2-40B4-BE49-F238E27FC236}">
              <a16:creationId xmlns:a16="http://schemas.microsoft.com/office/drawing/2014/main" id="{B04D75B5-7ACF-42C1-BABA-999661FD58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14247020" y="1423987"/>
          <a:ext cx="2448219" cy="250031"/>
        </a:xfrm>
        <a:prstGeom prst="rect">
          <a:avLst/>
        </a:prstGeom>
      </xdr:spPr>
    </xdr:pic>
    <xdr:clientData/>
  </xdr:twoCellAnchor>
  <xdr:twoCellAnchor editAs="oneCell">
    <xdr:from>
      <xdr:col>12</xdr:col>
      <xdr:colOff>154782</xdr:colOff>
      <xdr:row>7</xdr:row>
      <xdr:rowOff>95250</xdr:rowOff>
    </xdr:from>
    <xdr:to>
      <xdr:col>16</xdr:col>
      <xdr:colOff>174126</xdr:colOff>
      <xdr:row>8</xdr:row>
      <xdr:rowOff>154781</xdr:rowOff>
    </xdr:to>
    <xdr:pic>
      <xdr:nvPicPr>
        <xdr:cNvPr id="172" name="Picture 171">
          <a:extLst>
            <a:ext uri="{FF2B5EF4-FFF2-40B4-BE49-F238E27FC236}">
              <a16:creationId xmlns:a16="http://schemas.microsoft.com/office/drawing/2014/main" id="{8AF0330B-ECEB-4763-9348-3BFB85930D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7584282" y="1428750"/>
          <a:ext cx="2448219" cy="2500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69094</xdr:colOff>
      <xdr:row>26</xdr:row>
      <xdr:rowOff>85459</xdr:rowOff>
    </xdr:from>
    <xdr:to>
      <xdr:col>6</xdr:col>
      <xdr:colOff>604024</xdr:colOff>
      <xdr:row>28</xdr:row>
      <xdr:rowOff>184642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9EDF2D3D-596A-4C05-9765-38961E518AC4}"/>
            </a:ext>
          </a:extLst>
        </xdr:cNvPr>
        <xdr:cNvSpPr/>
      </xdr:nvSpPr>
      <xdr:spPr>
        <a:xfrm>
          <a:off x="69094" y="5067034"/>
          <a:ext cx="4402080" cy="480183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69274</xdr:colOff>
      <xdr:row>20</xdr:row>
      <xdr:rowOff>136301</xdr:rowOff>
    </xdr:from>
    <xdr:to>
      <xdr:col>10</xdr:col>
      <xdr:colOff>458933</xdr:colOff>
      <xdr:row>21</xdr:row>
      <xdr:rowOff>198407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4C4F2521-A3E8-4A35-9547-5E6C73060EB8}"/>
            </a:ext>
          </a:extLst>
        </xdr:cNvPr>
        <xdr:cNvSpPr/>
      </xdr:nvSpPr>
      <xdr:spPr>
        <a:xfrm>
          <a:off x="69274" y="3955826"/>
          <a:ext cx="6619009" cy="252606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72259</xdr:colOff>
      <xdr:row>10</xdr:row>
      <xdr:rowOff>0</xdr:rowOff>
    </xdr:from>
    <xdr:to>
      <xdr:col>10</xdr:col>
      <xdr:colOff>450273</xdr:colOff>
      <xdr:row>16</xdr:row>
      <xdr:rowOff>6569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310E88B2-0A4C-4487-ACF0-36E1E667FEAB}"/>
            </a:ext>
          </a:extLst>
        </xdr:cNvPr>
        <xdr:cNvSpPr/>
      </xdr:nvSpPr>
      <xdr:spPr>
        <a:xfrm>
          <a:off x="72259" y="1905000"/>
          <a:ext cx="6607364" cy="115909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585108</xdr:colOff>
      <xdr:row>10</xdr:row>
      <xdr:rowOff>6348</xdr:rowOff>
    </xdr:from>
    <xdr:to>
      <xdr:col>9</xdr:col>
      <xdr:colOff>421822</xdr:colOff>
      <xdr:row>16</xdr:row>
      <xdr:rowOff>1208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8479D1E-2169-4575-8419-C8CAA7AD1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5108" y="1911348"/>
          <a:ext cx="5532664" cy="1147385"/>
        </a:xfrm>
        <a:prstGeom prst="rect">
          <a:avLst/>
        </a:prstGeom>
      </xdr:spPr>
    </xdr:pic>
    <xdr:clientData/>
  </xdr:twoCellAnchor>
  <xdr:twoCellAnchor editAs="absolute">
    <xdr:from>
      <xdr:col>0</xdr:col>
      <xdr:colOff>104536</xdr:colOff>
      <xdr:row>2</xdr:row>
      <xdr:rowOff>27032</xdr:rowOff>
    </xdr:from>
    <xdr:to>
      <xdr:col>3</xdr:col>
      <xdr:colOff>684949</xdr:colOff>
      <xdr:row>4</xdr:row>
      <xdr:rowOff>176394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CE1CB8-B355-4770-B304-6BBF69588A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104536" y="408032"/>
          <a:ext cx="2494938" cy="530362"/>
        </a:xfrm>
        <a:prstGeom prst="rect">
          <a:avLst/>
        </a:prstGeom>
      </xdr:spPr>
    </xdr:pic>
    <xdr:clientData/>
  </xdr:twoCellAnchor>
  <xdr:twoCellAnchor editAs="oneCell">
    <xdr:from>
      <xdr:col>3</xdr:col>
      <xdr:colOff>14183</xdr:colOff>
      <xdr:row>17</xdr:row>
      <xdr:rowOff>19707</xdr:rowOff>
    </xdr:from>
    <xdr:to>
      <xdr:col>8</xdr:col>
      <xdr:colOff>340115</xdr:colOff>
      <xdr:row>17</xdr:row>
      <xdr:rowOff>176544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6BBE3E3-875B-47A1-B071-6E1BAC4869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28708" y="3267732"/>
          <a:ext cx="3497757" cy="156837"/>
        </a:xfrm>
        <a:prstGeom prst="rect">
          <a:avLst/>
        </a:prstGeom>
      </xdr:spPr>
    </xdr:pic>
    <xdr:clientData/>
  </xdr:twoCellAnchor>
  <xdr:twoCellAnchor editAs="absolute">
    <xdr:from>
      <xdr:col>0</xdr:col>
      <xdr:colOff>79395</xdr:colOff>
      <xdr:row>20</xdr:row>
      <xdr:rowOff>113206</xdr:rowOff>
    </xdr:from>
    <xdr:to>
      <xdr:col>7</xdr:col>
      <xdr:colOff>1044</xdr:colOff>
      <xdr:row>28</xdr:row>
      <xdr:rowOff>96622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38D78636-4D1C-4336-9DEB-F2A13221A20F}"/>
            </a:ext>
          </a:extLst>
        </xdr:cNvPr>
        <xdr:cNvSpPr/>
      </xdr:nvSpPr>
      <xdr:spPr>
        <a:xfrm>
          <a:off x="79395" y="3932731"/>
          <a:ext cx="4398399" cy="1526466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14287</xdr:colOff>
      <xdr:row>34</xdr:row>
      <xdr:rowOff>100011</xdr:rowOff>
    </xdr:from>
    <xdr:to>
      <xdr:col>5</xdr:col>
      <xdr:colOff>407194</xdr:colOff>
      <xdr:row>36</xdr:row>
      <xdr:rowOff>4761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2C0AED8D-086A-401F-B128-B4E9C3DA4901}"/>
            </a:ext>
          </a:extLst>
        </xdr:cNvPr>
        <xdr:cNvSpPr txBox="1"/>
      </xdr:nvSpPr>
      <xdr:spPr>
        <a:xfrm>
          <a:off x="623887" y="6605586"/>
          <a:ext cx="3040857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1</xdr:col>
      <xdr:colOff>4762</xdr:colOff>
      <xdr:row>41</xdr:row>
      <xdr:rowOff>109537</xdr:rowOff>
    </xdr:from>
    <xdr:to>
      <xdr:col>5</xdr:col>
      <xdr:colOff>397669</xdr:colOff>
      <xdr:row>43</xdr:row>
      <xdr:rowOff>14287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90768F34-E592-4BD7-955F-86AB1D7F9EF3}"/>
            </a:ext>
          </a:extLst>
        </xdr:cNvPr>
        <xdr:cNvSpPr txBox="1"/>
      </xdr:nvSpPr>
      <xdr:spPr>
        <a:xfrm>
          <a:off x="614362" y="7948612"/>
          <a:ext cx="3040857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0</xdr:col>
      <xdr:colOff>638174</xdr:colOff>
      <xdr:row>48</xdr:row>
      <xdr:rowOff>42861</xdr:rowOff>
    </xdr:from>
    <xdr:to>
      <xdr:col>5</xdr:col>
      <xdr:colOff>388143</xdr:colOff>
      <xdr:row>49</xdr:row>
      <xdr:rowOff>138111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99374E6D-5290-4061-8330-7FDE800E8932}"/>
            </a:ext>
          </a:extLst>
        </xdr:cNvPr>
        <xdr:cNvSpPr txBox="1"/>
      </xdr:nvSpPr>
      <xdr:spPr>
        <a:xfrm>
          <a:off x="609599" y="9215436"/>
          <a:ext cx="3036094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 editAs="absolute">
    <xdr:from>
      <xdr:col>0</xdr:col>
      <xdr:colOff>59531</xdr:colOff>
      <xdr:row>0</xdr:row>
      <xdr:rowOff>59533</xdr:rowOff>
    </xdr:from>
    <xdr:to>
      <xdr:col>10</xdr:col>
      <xdr:colOff>464343</xdr:colOff>
      <xdr:row>51</xdr:row>
      <xdr:rowOff>38101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F4F4375A-C987-4474-9E76-80F38DD6C1EB}"/>
            </a:ext>
          </a:extLst>
        </xdr:cNvPr>
        <xdr:cNvSpPr/>
      </xdr:nvSpPr>
      <xdr:spPr>
        <a:xfrm>
          <a:off x="59531" y="59533"/>
          <a:ext cx="6634162" cy="9722643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80963</xdr:colOff>
      <xdr:row>0</xdr:row>
      <xdr:rowOff>71436</xdr:rowOff>
    </xdr:from>
    <xdr:to>
      <xdr:col>21</xdr:col>
      <xdr:colOff>511968</xdr:colOff>
      <xdr:row>51</xdr:row>
      <xdr:rowOff>28575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CE08085-713E-4DC7-A3F2-44DE19AC20C6}"/>
            </a:ext>
          </a:extLst>
        </xdr:cNvPr>
        <xdr:cNvSpPr/>
      </xdr:nvSpPr>
      <xdr:spPr>
        <a:xfrm>
          <a:off x="69199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3</xdr:col>
      <xdr:colOff>16874</xdr:colOff>
      <xdr:row>7</xdr:row>
      <xdr:rowOff>118241</xdr:rowOff>
    </xdr:from>
    <xdr:to>
      <xdr:col>7</xdr:col>
      <xdr:colOff>505809</xdr:colOff>
      <xdr:row>8</xdr:row>
      <xdr:rowOff>96545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76DDE6F-E18A-4929-8176-48ED667656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31399" y="1451741"/>
          <a:ext cx="3051160" cy="168804"/>
        </a:xfrm>
        <a:prstGeom prst="rect">
          <a:avLst/>
        </a:prstGeom>
      </xdr:spPr>
    </xdr:pic>
    <xdr:clientData/>
  </xdr:twoCellAnchor>
  <xdr:twoCellAnchor editAs="oneCell">
    <xdr:from>
      <xdr:col>1</xdr:col>
      <xdr:colOff>3734</xdr:colOff>
      <xdr:row>30</xdr:row>
      <xdr:rowOff>178594</xdr:rowOff>
    </xdr:from>
    <xdr:to>
      <xdr:col>9</xdr:col>
      <xdr:colOff>522992</xdr:colOff>
      <xdr:row>33</xdr:row>
      <xdr:rowOff>178594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5B7A6739-650A-4876-9E97-9ECF0406F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13334" y="5922169"/>
          <a:ext cx="5605608" cy="5715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635143</xdr:colOff>
      <xdr:row>37</xdr:row>
      <xdr:rowOff>130969</xdr:rowOff>
    </xdr:from>
    <xdr:to>
      <xdr:col>9</xdr:col>
      <xdr:colOff>476249</xdr:colOff>
      <xdr:row>40</xdr:row>
      <xdr:rowOff>104870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2E4255A3-783D-40A2-9805-B698DE2EFA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6568" y="7208044"/>
          <a:ext cx="5565631" cy="545401"/>
        </a:xfrm>
        <a:prstGeom prst="rect">
          <a:avLst/>
        </a:prstGeom>
      </xdr:spPr>
    </xdr:pic>
    <xdr:clientData/>
  </xdr:twoCellAnchor>
  <xdr:twoCellAnchor editAs="oneCell">
    <xdr:from>
      <xdr:col>0</xdr:col>
      <xdr:colOff>611981</xdr:colOff>
      <xdr:row>44</xdr:row>
      <xdr:rowOff>102395</xdr:rowOff>
    </xdr:from>
    <xdr:to>
      <xdr:col>9</xdr:col>
      <xdr:colOff>416718</xdr:colOff>
      <xdr:row>47</xdr:row>
      <xdr:rowOff>82201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CE5760B8-07CF-4F6B-AB80-076A430807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11981" y="8512970"/>
          <a:ext cx="5500687" cy="551306"/>
        </a:xfrm>
        <a:prstGeom prst="rect">
          <a:avLst/>
        </a:prstGeom>
      </xdr:spPr>
    </xdr:pic>
    <xdr:clientData/>
  </xdr:twoCellAnchor>
  <xdr:twoCellAnchor editAs="oneCell">
    <xdr:from>
      <xdr:col>3</xdr:col>
      <xdr:colOff>492673</xdr:colOff>
      <xdr:row>20</xdr:row>
      <xdr:rowOff>159598</xdr:rowOff>
    </xdr:from>
    <xdr:to>
      <xdr:col>4</xdr:col>
      <xdr:colOff>533842</xdr:colOff>
      <xdr:row>21</xdr:row>
      <xdr:rowOff>131046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57371BC2-6C8B-4626-9587-E92AE54CC4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407198" y="3979123"/>
          <a:ext cx="774594" cy="161948"/>
        </a:xfrm>
        <a:prstGeom prst="rect">
          <a:avLst/>
        </a:prstGeom>
      </xdr:spPr>
    </xdr:pic>
    <xdr:clientData/>
  </xdr:twoCellAnchor>
  <xdr:twoCellAnchor editAs="absolute">
    <xdr:from>
      <xdr:col>7</xdr:col>
      <xdr:colOff>85695</xdr:colOff>
      <xdr:row>21</xdr:row>
      <xdr:rowOff>2240</xdr:rowOff>
    </xdr:from>
    <xdr:to>
      <xdr:col>7</xdr:col>
      <xdr:colOff>495327</xdr:colOff>
      <xdr:row>21</xdr:row>
      <xdr:rowOff>145135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A006E475-4240-4C81-90F7-D7D4FDEDC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562445" y="4012265"/>
          <a:ext cx="409632" cy="142895"/>
        </a:xfrm>
        <a:prstGeom prst="rect">
          <a:avLst/>
        </a:prstGeom>
      </xdr:spPr>
    </xdr:pic>
    <xdr:clientData/>
  </xdr:twoCellAnchor>
  <xdr:twoCellAnchor editAs="oneCell">
    <xdr:from>
      <xdr:col>8</xdr:col>
      <xdr:colOff>85695</xdr:colOff>
      <xdr:row>21</xdr:row>
      <xdr:rowOff>8808</xdr:rowOff>
    </xdr:from>
    <xdr:to>
      <xdr:col>8</xdr:col>
      <xdr:colOff>571538</xdr:colOff>
      <xdr:row>21</xdr:row>
      <xdr:rowOff>142177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A6B2A23B-96FD-4262-98A2-31FD86A9A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172045" y="4018833"/>
          <a:ext cx="485843" cy="133369"/>
        </a:xfrm>
        <a:prstGeom prst="rect">
          <a:avLst/>
        </a:prstGeom>
      </xdr:spPr>
    </xdr:pic>
    <xdr:clientData/>
  </xdr:twoCellAnchor>
  <xdr:twoCellAnchor editAs="oneCell">
    <xdr:from>
      <xdr:col>11</xdr:col>
      <xdr:colOff>122466</xdr:colOff>
      <xdr:row>2</xdr:row>
      <xdr:rowOff>9102</xdr:rowOff>
    </xdr:from>
    <xdr:to>
      <xdr:col>15</xdr:col>
      <xdr:colOff>184047</xdr:colOff>
      <xdr:row>4</xdr:row>
      <xdr:rowOff>158464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70667308-AB60-4D1F-A3E3-8FB9E66EF3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6961416" y="390102"/>
          <a:ext cx="2499981" cy="530362"/>
        </a:xfrm>
        <a:prstGeom prst="rect">
          <a:avLst/>
        </a:prstGeom>
      </xdr:spPr>
    </xdr:pic>
    <xdr:clientData/>
  </xdr:twoCellAnchor>
  <xdr:twoCellAnchor>
    <xdr:from>
      <xdr:col>11</xdr:col>
      <xdr:colOff>94383</xdr:colOff>
      <xdr:row>11</xdr:row>
      <xdr:rowOff>124067</xdr:rowOff>
    </xdr:from>
    <xdr:to>
      <xdr:col>21</xdr:col>
      <xdr:colOff>506557</xdr:colOff>
      <xdr:row>12</xdr:row>
      <xdr:rowOff>185307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DE25AB5E-6C1A-4F1A-9483-B66A52B0C506}"/>
            </a:ext>
          </a:extLst>
        </xdr:cNvPr>
        <xdr:cNvGrpSpPr/>
      </xdr:nvGrpSpPr>
      <xdr:grpSpPr>
        <a:xfrm>
          <a:off x="6916664" y="2219567"/>
          <a:ext cx="6484362" cy="251740"/>
          <a:chOff x="7272759" y="2590175"/>
          <a:chExt cx="6772276" cy="251740"/>
        </a:xfrm>
      </xdr:grpSpPr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35E0775F-112E-48C9-AA0A-4BD79E19ECB0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24" name="Picture 23">
            <a:extLst>
              <a:ext uri="{FF2B5EF4-FFF2-40B4-BE49-F238E27FC236}">
                <a16:creationId xmlns:a16="http://schemas.microsoft.com/office/drawing/2014/main" id="{33042106-4128-4442-9CAE-F08531191C7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25" name="Picture 24">
            <a:extLst>
              <a:ext uri="{FF2B5EF4-FFF2-40B4-BE49-F238E27FC236}">
                <a16:creationId xmlns:a16="http://schemas.microsoft.com/office/drawing/2014/main" id="{7B6D59D7-AF8D-4E83-A84D-4E0542B095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26" name="Picture 25">
            <a:extLst>
              <a:ext uri="{FF2B5EF4-FFF2-40B4-BE49-F238E27FC236}">
                <a16:creationId xmlns:a16="http://schemas.microsoft.com/office/drawing/2014/main" id="{4ED6ED1A-F2CA-4A61-8506-FD5A919752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27" name="Picture 26">
            <a:extLst>
              <a:ext uri="{FF2B5EF4-FFF2-40B4-BE49-F238E27FC236}">
                <a16:creationId xmlns:a16="http://schemas.microsoft.com/office/drawing/2014/main" id="{4BDBBFD0-1B27-4F18-8423-EAFE71D210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92528</xdr:colOff>
      <xdr:row>12</xdr:row>
      <xdr:rowOff>161243</xdr:rowOff>
    </xdr:from>
    <xdr:to>
      <xdr:col>11</xdr:col>
      <xdr:colOff>625078</xdr:colOff>
      <xdr:row>51</xdr:row>
      <xdr:rowOff>23812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DAF6D36B-66D6-4C50-BF4E-D8EAB27912EB}"/>
            </a:ext>
          </a:extLst>
        </xdr:cNvPr>
        <xdr:cNvSpPr/>
      </xdr:nvSpPr>
      <xdr:spPr>
        <a:xfrm>
          <a:off x="69314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21</xdr:col>
      <xdr:colOff>6803</xdr:colOff>
      <xdr:row>12</xdr:row>
      <xdr:rowOff>158862</xdr:rowOff>
    </xdr:from>
    <xdr:to>
      <xdr:col>21</xdr:col>
      <xdr:colOff>506016</xdr:colOff>
      <xdr:row>51</xdr:row>
      <xdr:rowOff>17859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C954C6B5-79FB-4D91-AE54-7EED49CA5120}"/>
            </a:ext>
          </a:extLst>
        </xdr:cNvPr>
        <xdr:cNvSpPr/>
      </xdr:nvSpPr>
      <xdr:spPr>
        <a:xfrm>
          <a:off x="129417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202410</xdr:colOff>
      <xdr:row>50</xdr:row>
      <xdr:rowOff>11906</xdr:rowOff>
    </xdr:from>
    <xdr:to>
      <xdr:col>21</xdr:col>
      <xdr:colOff>369094</xdr:colOff>
      <xdr:row>51</xdr:row>
      <xdr:rowOff>23812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D8F0A337-68BF-4028-90AB-0866E32C1960}"/>
            </a:ext>
          </a:extLst>
        </xdr:cNvPr>
        <xdr:cNvSpPr/>
      </xdr:nvSpPr>
      <xdr:spPr>
        <a:xfrm rot="16200000">
          <a:off x="100714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80963</xdr:colOff>
      <xdr:row>0</xdr:row>
      <xdr:rowOff>71436</xdr:rowOff>
    </xdr:from>
    <xdr:to>
      <xdr:col>32</xdr:col>
      <xdr:colOff>511968</xdr:colOff>
      <xdr:row>51</xdr:row>
      <xdr:rowOff>28575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910353F7-459F-42D3-A80D-DE0C280CF2C5}"/>
            </a:ext>
          </a:extLst>
        </xdr:cNvPr>
        <xdr:cNvSpPr/>
      </xdr:nvSpPr>
      <xdr:spPr>
        <a:xfrm>
          <a:off x="136255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22</xdr:col>
      <xdr:colOff>111260</xdr:colOff>
      <xdr:row>2</xdr:row>
      <xdr:rowOff>20308</xdr:rowOff>
    </xdr:from>
    <xdr:ext cx="2614281" cy="530362"/>
    <xdr:pic>
      <xdr:nvPicPr>
        <xdr:cNvPr id="32" name="Picture 31">
          <a:extLst>
            <a:ext uri="{FF2B5EF4-FFF2-40B4-BE49-F238E27FC236}">
              <a16:creationId xmlns:a16="http://schemas.microsoft.com/office/drawing/2014/main" id="{B2F0CA05-3529-43DB-82D7-1E82C9CE16C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13655810" y="401308"/>
          <a:ext cx="2614281" cy="530362"/>
        </a:xfrm>
        <a:prstGeom prst="rect">
          <a:avLst/>
        </a:prstGeom>
      </xdr:spPr>
    </xdr:pic>
    <xdr:clientData/>
  </xdr:oneCellAnchor>
  <xdr:twoCellAnchor>
    <xdr:from>
      <xdr:col>22</xdr:col>
      <xdr:colOff>94383</xdr:colOff>
      <xdr:row>11</xdr:row>
      <xdr:rowOff>124067</xdr:rowOff>
    </xdr:from>
    <xdr:to>
      <xdr:col>32</xdr:col>
      <xdr:colOff>506557</xdr:colOff>
      <xdr:row>12</xdr:row>
      <xdr:rowOff>185307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61141306-9C5C-4CCF-8151-EBEEE810F63E}"/>
            </a:ext>
          </a:extLst>
        </xdr:cNvPr>
        <xdr:cNvGrpSpPr/>
      </xdr:nvGrpSpPr>
      <xdr:grpSpPr>
        <a:xfrm>
          <a:off x="13596071" y="2219567"/>
          <a:ext cx="6484361" cy="251740"/>
          <a:chOff x="7272759" y="2590175"/>
          <a:chExt cx="6772276" cy="251740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9996EBAA-89DA-4C04-9A3F-BBBED9184002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35" name="Picture 34">
            <a:extLst>
              <a:ext uri="{FF2B5EF4-FFF2-40B4-BE49-F238E27FC236}">
                <a16:creationId xmlns:a16="http://schemas.microsoft.com/office/drawing/2014/main" id="{2DFE4DA1-B32C-4482-9994-5E6670D8A0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36" name="Picture 35">
            <a:extLst>
              <a:ext uri="{FF2B5EF4-FFF2-40B4-BE49-F238E27FC236}">
                <a16:creationId xmlns:a16="http://schemas.microsoft.com/office/drawing/2014/main" id="{2C23F914-907C-4C6D-AE24-1ED8B2D04D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37" name="Picture 36">
            <a:extLst>
              <a:ext uri="{FF2B5EF4-FFF2-40B4-BE49-F238E27FC236}">
                <a16:creationId xmlns:a16="http://schemas.microsoft.com/office/drawing/2014/main" id="{F3AD8FD2-9A10-42C5-B843-894CB11478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38" name="Picture 37">
            <a:extLst>
              <a:ext uri="{FF2B5EF4-FFF2-40B4-BE49-F238E27FC236}">
                <a16:creationId xmlns:a16="http://schemas.microsoft.com/office/drawing/2014/main" id="{4211A4E1-3625-48F8-BDC6-9F945F204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92528</xdr:colOff>
      <xdr:row>12</xdr:row>
      <xdr:rowOff>161243</xdr:rowOff>
    </xdr:from>
    <xdr:to>
      <xdr:col>22</xdr:col>
      <xdr:colOff>625078</xdr:colOff>
      <xdr:row>51</xdr:row>
      <xdr:rowOff>23812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A302C237-C7D9-4504-A68E-36F52AA16AD0}"/>
            </a:ext>
          </a:extLst>
        </xdr:cNvPr>
        <xdr:cNvSpPr/>
      </xdr:nvSpPr>
      <xdr:spPr>
        <a:xfrm>
          <a:off x="136370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32</xdr:col>
      <xdr:colOff>6803</xdr:colOff>
      <xdr:row>12</xdr:row>
      <xdr:rowOff>158862</xdr:rowOff>
    </xdr:from>
    <xdr:to>
      <xdr:col>32</xdr:col>
      <xdr:colOff>506016</xdr:colOff>
      <xdr:row>51</xdr:row>
      <xdr:rowOff>17859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D878C0FF-3FFC-486D-AA0E-9C2C790A90AA}"/>
            </a:ext>
          </a:extLst>
        </xdr:cNvPr>
        <xdr:cNvSpPr/>
      </xdr:nvSpPr>
      <xdr:spPr>
        <a:xfrm>
          <a:off x="196473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202410</xdr:colOff>
      <xdr:row>50</xdr:row>
      <xdr:rowOff>11906</xdr:rowOff>
    </xdr:from>
    <xdr:to>
      <xdr:col>32</xdr:col>
      <xdr:colOff>369094</xdr:colOff>
      <xdr:row>51</xdr:row>
      <xdr:rowOff>23812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74732156-D7AE-4794-97DE-90E24FF6FCA3}"/>
            </a:ext>
          </a:extLst>
        </xdr:cNvPr>
        <xdr:cNvSpPr/>
      </xdr:nvSpPr>
      <xdr:spPr>
        <a:xfrm rot="16200000">
          <a:off x="167770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80963</xdr:colOff>
      <xdr:row>0</xdr:row>
      <xdr:rowOff>71436</xdr:rowOff>
    </xdr:from>
    <xdr:to>
      <xdr:col>43</xdr:col>
      <xdr:colOff>511968</xdr:colOff>
      <xdr:row>51</xdr:row>
      <xdr:rowOff>28575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169DD0C6-F469-4D36-B3CB-49C9443F00B2}"/>
            </a:ext>
          </a:extLst>
        </xdr:cNvPr>
        <xdr:cNvSpPr/>
      </xdr:nvSpPr>
      <xdr:spPr>
        <a:xfrm>
          <a:off x="203311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33</xdr:col>
      <xdr:colOff>111260</xdr:colOff>
      <xdr:row>2</xdr:row>
      <xdr:rowOff>9102</xdr:rowOff>
    </xdr:from>
    <xdr:ext cx="2614281" cy="530362"/>
    <xdr:pic>
      <xdr:nvPicPr>
        <xdr:cNvPr id="43" name="Picture 42">
          <a:extLst>
            <a:ext uri="{FF2B5EF4-FFF2-40B4-BE49-F238E27FC236}">
              <a16:creationId xmlns:a16="http://schemas.microsoft.com/office/drawing/2014/main" id="{304CC20F-A90C-42AC-A6C1-628418D044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0361410" y="390102"/>
          <a:ext cx="2614281" cy="530362"/>
        </a:xfrm>
        <a:prstGeom prst="rect">
          <a:avLst/>
        </a:prstGeom>
      </xdr:spPr>
    </xdr:pic>
    <xdr:clientData/>
  </xdr:oneCellAnchor>
  <xdr:twoCellAnchor>
    <xdr:from>
      <xdr:col>33</xdr:col>
      <xdr:colOff>94383</xdr:colOff>
      <xdr:row>11</xdr:row>
      <xdr:rowOff>124067</xdr:rowOff>
    </xdr:from>
    <xdr:to>
      <xdr:col>43</xdr:col>
      <xdr:colOff>506557</xdr:colOff>
      <xdr:row>12</xdr:row>
      <xdr:rowOff>185307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387B9BE3-E63C-4FD2-AF97-A08323723434}"/>
            </a:ext>
          </a:extLst>
        </xdr:cNvPr>
        <xdr:cNvGrpSpPr/>
      </xdr:nvGrpSpPr>
      <xdr:grpSpPr>
        <a:xfrm>
          <a:off x="20275477" y="2219567"/>
          <a:ext cx="6484361" cy="251740"/>
          <a:chOff x="7272759" y="2590175"/>
          <a:chExt cx="6772276" cy="251740"/>
        </a:xfrm>
      </xdr:grpSpPr>
      <xdr:sp macro="" textlink="">
        <xdr:nvSpPr>
          <xdr:cNvPr id="45" name="Rectangle 44">
            <a:extLst>
              <a:ext uri="{FF2B5EF4-FFF2-40B4-BE49-F238E27FC236}">
                <a16:creationId xmlns:a16="http://schemas.microsoft.com/office/drawing/2014/main" id="{F2E51FB0-5251-4E9B-8B81-6CC64905703D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6" name="Picture 45">
            <a:extLst>
              <a:ext uri="{FF2B5EF4-FFF2-40B4-BE49-F238E27FC236}">
                <a16:creationId xmlns:a16="http://schemas.microsoft.com/office/drawing/2014/main" id="{3B43EEE7-8BB0-4B9F-A837-1789D807AF3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47" name="Picture 46">
            <a:extLst>
              <a:ext uri="{FF2B5EF4-FFF2-40B4-BE49-F238E27FC236}">
                <a16:creationId xmlns:a16="http://schemas.microsoft.com/office/drawing/2014/main" id="{35E80541-ED5C-40E0-87A3-D4A6608F6BF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48" name="Picture 47">
            <a:extLst>
              <a:ext uri="{FF2B5EF4-FFF2-40B4-BE49-F238E27FC236}">
                <a16:creationId xmlns:a16="http://schemas.microsoft.com/office/drawing/2014/main" id="{209C449F-66DD-4BD4-95F5-DFF97B2D44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49" name="Picture 48">
            <a:extLst>
              <a:ext uri="{FF2B5EF4-FFF2-40B4-BE49-F238E27FC236}">
                <a16:creationId xmlns:a16="http://schemas.microsoft.com/office/drawing/2014/main" id="{C6643BFE-379D-4A9F-B381-C650B16A25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92528</xdr:colOff>
      <xdr:row>12</xdr:row>
      <xdr:rowOff>161243</xdr:rowOff>
    </xdr:from>
    <xdr:to>
      <xdr:col>33</xdr:col>
      <xdr:colOff>625078</xdr:colOff>
      <xdr:row>51</xdr:row>
      <xdr:rowOff>23812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06AFE77C-AA03-4094-BF85-45EB15CFF9E3}"/>
            </a:ext>
          </a:extLst>
        </xdr:cNvPr>
        <xdr:cNvSpPr/>
      </xdr:nvSpPr>
      <xdr:spPr>
        <a:xfrm>
          <a:off x="203426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43</xdr:col>
      <xdr:colOff>6803</xdr:colOff>
      <xdr:row>12</xdr:row>
      <xdr:rowOff>158862</xdr:rowOff>
    </xdr:from>
    <xdr:to>
      <xdr:col>43</xdr:col>
      <xdr:colOff>506016</xdr:colOff>
      <xdr:row>51</xdr:row>
      <xdr:rowOff>17859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21277364-889D-4C12-8F8C-91A477835DD5}"/>
            </a:ext>
          </a:extLst>
        </xdr:cNvPr>
        <xdr:cNvSpPr/>
      </xdr:nvSpPr>
      <xdr:spPr>
        <a:xfrm>
          <a:off x="263529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202410</xdr:colOff>
      <xdr:row>50</xdr:row>
      <xdr:rowOff>11906</xdr:rowOff>
    </xdr:from>
    <xdr:to>
      <xdr:col>43</xdr:col>
      <xdr:colOff>369094</xdr:colOff>
      <xdr:row>51</xdr:row>
      <xdr:rowOff>23812</xdr:rowOff>
    </xdr:to>
    <xdr:sp macro="" textlink="">
      <xdr:nvSpPr>
        <xdr:cNvPr id="52" name="Rectangle 51">
          <a:extLst>
            <a:ext uri="{FF2B5EF4-FFF2-40B4-BE49-F238E27FC236}">
              <a16:creationId xmlns:a16="http://schemas.microsoft.com/office/drawing/2014/main" id="{1CAB992D-B65D-462B-A71A-78F2D2DA7CE4}"/>
            </a:ext>
          </a:extLst>
        </xdr:cNvPr>
        <xdr:cNvSpPr/>
      </xdr:nvSpPr>
      <xdr:spPr>
        <a:xfrm rot="16200000">
          <a:off x="234826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80963</xdr:colOff>
      <xdr:row>0</xdr:row>
      <xdr:rowOff>71436</xdr:rowOff>
    </xdr:from>
    <xdr:to>
      <xdr:col>32</xdr:col>
      <xdr:colOff>511968</xdr:colOff>
      <xdr:row>51</xdr:row>
      <xdr:rowOff>28575</xdr:rowOff>
    </xdr:to>
    <xdr:sp macro="" textlink="">
      <xdr:nvSpPr>
        <xdr:cNvPr id="53" name="Rectangle 52">
          <a:extLst>
            <a:ext uri="{FF2B5EF4-FFF2-40B4-BE49-F238E27FC236}">
              <a16:creationId xmlns:a16="http://schemas.microsoft.com/office/drawing/2014/main" id="{57D9337C-35D9-4E0D-A5BA-1E97281FE2C5}"/>
            </a:ext>
          </a:extLst>
        </xdr:cNvPr>
        <xdr:cNvSpPr/>
      </xdr:nvSpPr>
      <xdr:spPr>
        <a:xfrm>
          <a:off x="136255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22</xdr:col>
      <xdr:colOff>144877</xdr:colOff>
      <xdr:row>2</xdr:row>
      <xdr:rowOff>20308</xdr:rowOff>
    </xdr:from>
    <xdr:ext cx="2616522" cy="530362"/>
    <xdr:pic>
      <xdr:nvPicPr>
        <xdr:cNvPr id="54" name="Picture 53">
          <a:extLst>
            <a:ext uri="{FF2B5EF4-FFF2-40B4-BE49-F238E27FC236}">
              <a16:creationId xmlns:a16="http://schemas.microsoft.com/office/drawing/2014/main" id="{2F24A206-5AD0-4B85-B13C-88FDC198529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13689427" y="401308"/>
          <a:ext cx="2616522" cy="530362"/>
        </a:xfrm>
        <a:prstGeom prst="rect">
          <a:avLst/>
        </a:prstGeom>
      </xdr:spPr>
    </xdr:pic>
    <xdr:clientData/>
  </xdr:oneCellAnchor>
  <xdr:twoCellAnchor>
    <xdr:from>
      <xdr:col>22</xdr:col>
      <xdr:colOff>94383</xdr:colOff>
      <xdr:row>11</xdr:row>
      <xdr:rowOff>124067</xdr:rowOff>
    </xdr:from>
    <xdr:to>
      <xdr:col>32</xdr:col>
      <xdr:colOff>506557</xdr:colOff>
      <xdr:row>12</xdr:row>
      <xdr:rowOff>185307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CA9DAF1E-D7E5-4A0B-A9F4-0B3B18088923}"/>
            </a:ext>
          </a:extLst>
        </xdr:cNvPr>
        <xdr:cNvGrpSpPr/>
      </xdr:nvGrpSpPr>
      <xdr:grpSpPr>
        <a:xfrm>
          <a:off x="13596071" y="2219567"/>
          <a:ext cx="6484361" cy="251740"/>
          <a:chOff x="7272759" y="2590175"/>
          <a:chExt cx="6772276" cy="251740"/>
        </a:xfrm>
      </xdr:grpSpPr>
      <xdr:sp macro="" textlink="">
        <xdr:nvSpPr>
          <xdr:cNvPr id="56" name="Rectangle 55">
            <a:extLst>
              <a:ext uri="{FF2B5EF4-FFF2-40B4-BE49-F238E27FC236}">
                <a16:creationId xmlns:a16="http://schemas.microsoft.com/office/drawing/2014/main" id="{CD770A46-6C5B-40F3-A109-451931A7A07D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7" name="Picture 56">
            <a:extLst>
              <a:ext uri="{FF2B5EF4-FFF2-40B4-BE49-F238E27FC236}">
                <a16:creationId xmlns:a16="http://schemas.microsoft.com/office/drawing/2014/main" id="{997AC860-0C39-4351-90AD-C7A00144DDB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58" name="Picture 57">
            <a:extLst>
              <a:ext uri="{FF2B5EF4-FFF2-40B4-BE49-F238E27FC236}">
                <a16:creationId xmlns:a16="http://schemas.microsoft.com/office/drawing/2014/main" id="{759A0CC8-5FDF-4ED1-9FF5-271E5B7D448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59" name="Picture 58">
            <a:extLst>
              <a:ext uri="{FF2B5EF4-FFF2-40B4-BE49-F238E27FC236}">
                <a16:creationId xmlns:a16="http://schemas.microsoft.com/office/drawing/2014/main" id="{74BE9BBA-7271-4852-A0CE-89FBC4139A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60" name="Picture 59">
            <a:extLst>
              <a:ext uri="{FF2B5EF4-FFF2-40B4-BE49-F238E27FC236}">
                <a16:creationId xmlns:a16="http://schemas.microsoft.com/office/drawing/2014/main" id="{97E67D8D-21A4-4DEA-965D-ECD3FCE77C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92528</xdr:colOff>
      <xdr:row>12</xdr:row>
      <xdr:rowOff>161243</xdr:rowOff>
    </xdr:from>
    <xdr:to>
      <xdr:col>22</xdr:col>
      <xdr:colOff>625078</xdr:colOff>
      <xdr:row>51</xdr:row>
      <xdr:rowOff>23812</xdr:rowOff>
    </xdr:to>
    <xdr:sp macro="" textlink="">
      <xdr:nvSpPr>
        <xdr:cNvPr id="61" name="Rectangle 60">
          <a:extLst>
            <a:ext uri="{FF2B5EF4-FFF2-40B4-BE49-F238E27FC236}">
              <a16:creationId xmlns:a16="http://schemas.microsoft.com/office/drawing/2014/main" id="{C00B6D85-954F-4EE2-981D-EEDE803D3F4D}"/>
            </a:ext>
          </a:extLst>
        </xdr:cNvPr>
        <xdr:cNvSpPr/>
      </xdr:nvSpPr>
      <xdr:spPr>
        <a:xfrm>
          <a:off x="136370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32</xdr:col>
      <xdr:colOff>6803</xdr:colOff>
      <xdr:row>12</xdr:row>
      <xdr:rowOff>158862</xdr:rowOff>
    </xdr:from>
    <xdr:to>
      <xdr:col>32</xdr:col>
      <xdr:colOff>506016</xdr:colOff>
      <xdr:row>51</xdr:row>
      <xdr:rowOff>17859</xdr:rowOff>
    </xdr:to>
    <xdr:sp macro="" textlink="">
      <xdr:nvSpPr>
        <xdr:cNvPr id="62" name="Rectangle 61">
          <a:extLst>
            <a:ext uri="{FF2B5EF4-FFF2-40B4-BE49-F238E27FC236}">
              <a16:creationId xmlns:a16="http://schemas.microsoft.com/office/drawing/2014/main" id="{119D4F11-C938-4A4C-9E3A-011EC192BD74}"/>
            </a:ext>
          </a:extLst>
        </xdr:cNvPr>
        <xdr:cNvSpPr/>
      </xdr:nvSpPr>
      <xdr:spPr>
        <a:xfrm>
          <a:off x="196473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202410</xdr:colOff>
      <xdr:row>50</xdr:row>
      <xdr:rowOff>11906</xdr:rowOff>
    </xdr:from>
    <xdr:to>
      <xdr:col>32</xdr:col>
      <xdr:colOff>369094</xdr:colOff>
      <xdr:row>51</xdr:row>
      <xdr:rowOff>23812</xdr:rowOff>
    </xdr:to>
    <xdr:sp macro="" textlink="">
      <xdr:nvSpPr>
        <xdr:cNvPr id="63" name="Rectangle 62">
          <a:extLst>
            <a:ext uri="{FF2B5EF4-FFF2-40B4-BE49-F238E27FC236}">
              <a16:creationId xmlns:a16="http://schemas.microsoft.com/office/drawing/2014/main" id="{F28D2D84-0BF7-4213-A2A2-7399211A7A1B}"/>
            </a:ext>
          </a:extLst>
        </xdr:cNvPr>
        <xdr:cNvSpPr/>
      </xdr:nvSpPr>
      <xdr:spPr>
        <a:xfrm rot="16200000">
          <a:off x="167770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80963</xdr:colOff>
      <xdr:row>0</xdr:row>
      <xdr:rowOff>71436</xdr:rowOff>
    </xdr:from>
    <xdr:to>
      <xdr:col>43</xdr:col>
      <xdr:colOff>511968</xdr:colOff>
      <xdr:row>51</xdr:row>
      <xdr:rowOff>28575</xdr:rowOff>
    </xdr:to>
    <xdr:sp macro="" textlink="">
      <xdr:nvSpPr>
        <xdr:cNvPr id="64" name="Rectangle 63">
          <a:extLst>
            <a:ext uri="{FF2B5EF4-FFF2-40B4-BE49-F238E27FC236}">
              <a16:creationId xmlns:a16="http://schemas.microsoft.com/office/drawing/2014/main" id="{20300496-79A2-4FC1-A43F-3B8DB84FB081}"/>
            </a:ext>
          </a:extLst>
        </xdr:cNvPr>
        <xdr:cNvSpPr/>
      </xdr:nvSpPr>
      <xdr:spPr>
        <a:xfrm>
          <a:off x="203311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94383</xdr:colOff>
      <xdr:row>11</xdr:row>
      <xdr:rowOff>124067</xdr:rowOff>
    </xdr:from>
    <xdr:to>
      <xdr:col>43</xdr:col>
      <xdr:colOff>506557</xdr:colOff>
      <xdr:row>12</xdr:row>
      <xdr:rowOff>185307</xdr:rowOff>
    </xdr:to>
    <xdr:grpSp>
      <xdr:nvGrpSpPr>
        <xdr:cNvPr id="65" name="Group 64">
          <a:extLst>
            <a:ext uri="{FF2B5EF4-FFF2-40B4-BE49-F238E27FC236}">
              <a16:creationId xmlns:a16="http://schemas.microsoft.com/office/drawing/2014/main" id="{18793EC1-B25E-482C-AF39-E1CE498A664E}"/>
            </a:ext>
          </a:extLst>
        </xdr:cNvPr>
        <xdr:cNvGrpSpPr/>
      </xdr:nvGrpSpPr>
      <xdr:grpSpPr>
        <a:xfrm>
          <a:off x="20275477" y="2219567"/>
          <a:ext cx="6484361" cy="251740"/>
          <a:chOff x="7272759" y="2590175"/>
          <a:chExt cx="6772276" cy="251740"/>
        </a:xfrm>
      </xdr:grpSpPr>
      <xdr:sp macro="" textlink="">
        <xdr:nvSpPr>
          <xdr:cNvPr id="66" name="Rectangle 65">
            <a:extLst>
              <a:ext uri="{FF2B5EF4-FFF2-40B4-BE49-F238E27FC236}">
                <a16:creationId xmlns:a16="http://schemas.microsoft.com/office/drawing/2014/main" id="{11F2E411-219E-4320-9264-861E187F9232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67" name="Picture 66">
            <a:extLst>
              <a:ext uri="{FF2B5EF4-FFF2-40B4-BE49-F238E27FC236}">
                <a16:creationId xmlns:a16="http://schemas.microsoft.com/office/drawing/2014/main" id="{CD5F1156-7DDE-406B-84DC-4FF8160CF4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68" name="Picture 67">
            <a:extLst>
              <a:ext uri="{FF2B5EF4-FFF2-40B4-BE49-F238E27FC236}">
                <a16:creationId xmlns:a16="http://schemas.microsoft.com/office/drawing/2014/main" id="{F62CAF40-0CD8-45EC-A903-AE2B7F774ED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69" name="Picture 68">
            <a:extLst>
              <a:ext uri="{FF2B5EF4-FFF2-40B4-BE49-F238E27FC236}">
                <a16:creationId xmlns:a16="http://schemas.microsoft.com/office/drawing/2014/main" id="{79896F69-A1E7-43D9-BF2C-5C83CFEDB9D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70" name="Picture 69">
            <a:extLst>
              <a:ext uri="{FF2B5EF4-FFF2-40B4-BE49-F238E27FC236}">
                <a16:creationId xmlns:a16="http://schemas.microsoft.com/office/drawing/2014/main" id="{5F0A89C8-AE67-4D4B-85E2-97C62C6F48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92528</xdr:colOff>
      <xdr:row>12</xdr:row>
      <xdr:rowOff>161243</xdr:rowOff>
    </xdr:from>
    <xdr:to>
      <xdr:col>33</xdr:col>
      <xdr:colOff>625078</xdr:colOff>
      <xdr:row>51</xdr:row>
      <xdr:rowOff>23812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1A501417-BC39-45B4-A667-4077E9D41446}"/>
            </a:ext>
          </a:extLst>
        </xdr:cNvPr>
        <xdr:cNvSpPr/>
      </xdr:nvSpPr>
      <xdr:spPr>
        <a:xfrm>
          <a:off x="203426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43</xdr:col>
      <xdr:colOff>6803</xdr:colOff>
      <xdr:row>12</xdr:row>
      <xdr:rowOff>158862</xdr:rowOff>
    </xdr:from>
    <xdr:to>
      <xdr:col>43</xdr:col>
      <xdr:colOff>506016</xdr:colOff>
      <xdr:row>51</xdr:row>
      <xdr:rowOff>17859</xdr:rowOff>
    </xdr:to>
    <xdr:sp macro="" textlink="">
      <xdr:nvSpPr>
        <xdr:cNvPr id="72" name="Rectangle 71">
          <a:extLst>
            <a:ext uri="{FF2B5EF4-FFF2-40B4-BE49-F238E27FC236}">
              <a16:creationId xmlns:a16="http://schemas.microsoft.com/office/drawing/2014/main" id="{B28D6CB2-4513-47E0-9C90-17F3C2CEF3B8}"/>
            </a:ext>
          </a:extLst>
        </xdr:cNvPr>
        <xdr:cNvSpPr/>
      </xdr:nvSpPr>
      <xdr:spPr>
        <a:xfrm>
          <a:off x="263529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202410</xdr:colOff>
      <xdr:row>50</xdr:row>
      <xdr:rowOff>11906</xdr:rowOff>
    </xdr:from>
    <xdr:to>
      <xdr:col>43</xdr:col>
      <xdr:colOff>369094</xdr:colOff>
      <xdr:row>51</xdr:row>
      <xdr:rowOff>23812</xdr:rowOff>
    </xdr:to>
    <xdr:sp macro="" textlink="">
      <xdr:nvSpPr>
        <xdr:cNvPr id="73" name="Rectangle 72">
          <a:extLst>
            <a:ext uri="{FF2B5EF4-FFF2-40B4-BE49-F238E27FC236}">
              <a16:creationId xmlns:a16="http://schemas.microsoft.com/office/drawing/2014/main" id="{33E768D6-8930-4C6C-8407-D5F08D02FB93}"/>
            </a:ext>
          </a:extLst>
        </xdr:cNvPr>
        <xdr:cNvSpPr/>
      </xdr:nvSpPr>
      <xdr:spPr>
        <a:xfrm rot="16200000">
          <a:off x="234826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80963</xdr:colOff>
      <xdr:row>0</xdr:row>
      <xdr:rowOff>71436</xdr:rowOff>
    </xdr:from>
    <xdr:to>
      <xdr:col>54</xdr:col>
      <xdr:colOff>511968</xdr:colOff>
      <xdr:row>51</xdr:row>
      <xdr:rowOff>28575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3F732692-A7DC-47AF-88CF-87C47299455C}"/>
            </a:ext>
          </a:extLst>
        </xdr:cNvPr>
        <xdr:cNvSpPr/>
      </xdr:nvSpPr>
      <xdr:spPr>
        <a:xfrm>
          <a:off x="270367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44</xdr:col>
      <xdr:colOff>111260</xdr:colOff>
      <xdr:row>2</xdr:row>
      <xdr:rowOff>20308</xdr:rowOff>
    </xdr:from>
    <xdr:ext cx="2614281" cy="530362"/>
    <xdr:pic>
      <xdr:nvPicPr>
        <xdr:cNvPr id="75" name="Picture 74">
          <a:extLst>
            <a:ext uri="{FF2B5EF4-FFF2-40B4-BE49-F238E27FC236}">
              <a16:creationId xmlns:a16="http://schemas.microsoft.com/office/drawing/2014/main" id="{A6C62DE4-E9D4-4147-ABB2-999628468A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7067010" y="401308"/>
          <a:ext cx="2614281" cy="530362"/>
        </a:xfrm>
        <a:prstGeom prst="rect">
          <a:avLst/>
        </a:prstGeom>
      </xdr:spPr>
    </xdr:pic>
    <xdr:clientData/>
  </xdr:oneCellAnchor>
  <xdr:twoCellAnchor>
    <xdr:from>
      <xdr:col>44</xdr:col>
      <xdr:colOff>94383</xdr:colOff>
      <xdr:row>11</xdr:row>
      <xdr:rowOff>124067</xdr:rowOff>
    </xdr:from>
    <xdr:to>
      <xdr:col>54</xdr:col>
      <xdr:colOff>506557</xdr:colOff>
      <xdr:row>12</xdr:row>
      <xdr:rowOff>185307</xdr:rowOff>
    </xdr:to>
    <xdr:grpSp>
      <xdr:nvGrpSpPr>
        <xdr:cNvPr id="76" name="Group 75">
          <a:extLst>
            <a:ext uri="{FF2B5EF4-FFF2-40B4-BE49-F238E27FC236}">
              <a16:creationId xmlns:a16="http://schemas.microsoft.com/office/drawing/2014/main" id="{167BEA89-4BBC-4230-931D-AF7D62F7A15A}"/>
            </a:ext>
          </a:extLst>
        </xdr:cNvPr>
        <xdr:cNvGrpSpPr/>
      </xdr:nvGrpSpPr>
      <xdr:grpSpPr>
        <a:xfrm>
          <a:off x="26954883" y="2219567"/>
          <a:ext cx="6484362" cy="251740"/>
          <a:chOff x="7272759" y="2590175"/>
          <a:chExt cx="6772276" cy="251740"/>
        </a:xfrm>
      </xdr:grpSpPr>
      <xdr:sp macro="" textlink="">
        <xdr:nvSpPr>
          <xdr:cNvPr id="77" name="Rectangle 76">
            <a:extLst>
              <a:ext uri="{FF2B5EF4-FFF2-40B4-BE49-F238E27FC236}">
                <a16:creationId xmlns:a16="http://schemas.microsoft.com/office/drawing/2014/main" id="{594242AA-7BA2-49EA-8B31-9C1F19372C15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78" name="Picture 77">
            <a:extLst>
              <a:ext uri="{FF2B5EF4-FFF2-40B4-BE49-F238E27FC236}">
                <a16:creationId xmlns:a16="http://schemas.microsoft.com/office/drawing/2014/main" id="{370F3140-6CC6-4EB0-90F4-61063529D6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79" name="Picture 78">
            <a:extLst>
              <a:ext uri="{FF2B5EF4-FFF2-40B4-BE49-F238E27FC236}">
                <a16:creationId xmlns:a16="http://schemas.microsoft.com/office/drawing/2014/main" id="{81C49404-D036-4DAA-A896-7CB624D3D1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80" name="Picture 79">
            <a:extLst>
              <a:ext uri="{FF2B5EF4-FFF2-40B4-BE49-F238E27FC236}">
                <a16:creationId xmlns:a16="http://schemas.microsoft.com/office/drawing/2014/main" id="{80A4D70E-8D52-46D3-89F1-9D06DAF42C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81" name="Picture 80">
            <a:extLst>
              <a:ext uri="{FF2B5EF4-FFF2-40B4-BE49-F238E27FC236}">
                <a16:creationId xmlns:a16="http://schemas.microsoft.com/office/drawing/2014/main" id="{DF51470E-AB88-474A-96E0-A6BDCF17B3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44</xdr:col>
      <xdr:colOff>92528</xdr:colOff>
      <xdr:row>12</xdr:row>
      <xdr:rowOff>161243</xdr:rowOff>
    </xdr:from>
    <xdr:to>
      <xdr:col>44</xdr:col>
      <xdr:colOff>625078</xdr:colOff>
      <xdr:row>51</xdr:row>
      <xdr:rowOff>23812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4875DEEB-329F-498A-AF4A-1BC15B438855}"/>
            </a:ext>
          </a:extLst>
        </xdr:cNvPr>
        <xdr:cNvSpPr/>
      </xdr:nvSpPr>
      <xdr:spPr>
        <a:xfrm>
          <a:off x="270482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54</xdr:col>
      <xdr:colOff>6803</xdr:colOff>
      <xdr:row>12</xdr:row>
      <xdr:rowOff>158862</xdr:rowOff>
    </xdr:from>
    <xdr:to>
      <xdr:col>54</xdr:col>
      <xdr:colOff>506016</xdr:colOff>
      <xdr:row>51</xdr:row>
      <xdr:rowOff>17859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BA249888-93AA-49FE-AB95-E87720DEB967}"/>
            </a:ext>
          </a:extLst>
        </xdr:cNvPr>
        <xdr:cNvSpPr/>
      </xdr:nvSpPr>
      <xdr:spPr>
        <a:xfrm>
          <a:off x="330585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202410</xdr:colOff>
      <xdr:row>50</xdr:row>
      <xdr:rowOff>11906</xdr:rowOff>
    </xdr:from>
    <xdr:to>
      <xdr:col>54</xdr:col>
      <xdr:colOff>369094</xdr:colOff>
      <xdr:row>51</xdr:row>
      <xdr:rowOff>23812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3CEE00B0-C4AE-474A-9D6F-1B1AD0B835DB}"/>
            </a:ext>
          </a:extLst>
        </xdr:cNvPr>
        <xdr:cNvSpPr/>
      </xdr:nvSpPr>
      <xdr:spPr>
        <a:xfrm rot="16200000">
          <a:off x="301882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80963</xdr:colOff>
      <xdr:row>0</xdr:row>
      <xdr:rowOff>71436</xdr:rowOff>
    </xdr:from>
    <xdr:to>
      <xdr:col>54</xdr:col>
      <xdr:colOff>511968</xdr:colOff>
      <xdr:row>51</xdr:row>
      <xdr:rowOff>28575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D8EE2885-F03A-4D26-B76C-4DEC0428ABB5}"/>
            </a:ext>
          </a:extLst>
        </xdr:cNvPr>
        <xdr:cNvSpPr/>
      </xdr:nvSpPr>
      <xdr:spPr>
        <a:xfrm>
          <a:off x="270367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44</xdr:col>
      <xdr:colOff>111260</xdr:colOff>
      <xdr:row>2</xdr:row>
      <xdr:rowOff>20308</xdr:rowOff>
    </xdr:from>
    <xdr:ext cx="2616522" cy="530362"/>
    <xdr:pic>
      <xdr:nvPicPr>
        <xdr:cNvPr id="86" name="Picture 85">
          <a:extLst>
            <a:ext uri="{FF2B5EF4-FFF2-40B4-BE49-F238E27FC236}">
              <a16:creationId xmlns:a16="http://schemas.microsoft.com/office/drawing/2014/main" id="{2681E1E2-8FF0-4A6E-B60D-7D4E9DFA30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7067010" y="401308"/>
          <a:ext cx="2616522" cy="530362"/>
        </a:xfrm>
        <a:prstGeom prst="rect">
          <a:avLst/>
        </a:prstGeom>
      </xdr:spPr>
    </xdr:pic>
    <xdr:clientData/>
  </xdr:oneCellAnchor>
  <xdr:twoCellAnchor>
    <xdr:from>
      <xdr:col>44</xdr:col>
      <xdr:colOff>94383</xdr:colOff>
      <xdr:row>11</xdr:row>
      <xdr:rowOff>124067</xdr:rowOff>
    </xdr:from>
    <xdr:to>
      <xdr:col>54</xdr:col>
      <xdr:colOff>506557</xdr:colOff>
      <xdr:row>12</xdr:row>
      <xdr:rowOff>185307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D59B8DDD-3FFC-431A-A437-5F38E7E20EC1}"/>
            </a:ext>
          </a:extLst>
        </xdr:cNvPr>
        <xdr:cNvGrpSpPr/>
      </xdr:nvGrpSpPr>
      <xdr:grpSpPr>
        <a:xfrm>
          <a:off x="26954883" y="2219567"/>
          <a:ext cx="6484362" cy="251740"/>
          <a:chOff x="7272759" y="2590175"/>
          <a:chExt cx="6772276" cy="251740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5CE26238-3BAB-4E36-8028-F8F56673E4C9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89" name="Picture 88">
            <a:extLst>
              <a:ext uri="{FF2B5EF4-FFF2-40B4-BE49-F238E27FC236}">
                <a16:creationId xmlns:a16="http://schemas.microsoft.com/office/drawing/2014/main" id="{828826DD-63F7-4E17-8576-748CD5D389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90" name="Picture 89">
            <a:extLst>
              <a:ext uri="{FF2B5EF4-FFF2-40B4-BE49-F238E27FC236}">
                <a16:creationId xmlns:a16="http://schemas.microsoft.com/office/drawing/2014/main" id="{30125751-E977-4F7C-8034-1425B2A2D5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91" name="Picture 90">
            <a:extLst>
              <a:ext uri="{FF2B5EF4-FFF2-40B4-BE49-F238E27FC236}">
                <a16:creationId xmlns:a16="http://schemas.microsoft.com/office/drawing/2014/main" id="{44F07E26-829E-4100-AEBC-45C38B902D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92" name="Picture 91">
            <a:extLst>
              <a:ext uri="{FF2B5EF4-FFF2-40B4-BE49-F238E27FC236}">
                <a16:creationId xmlns:a16="http://schemas.microsoft.com/office/drawing/2014/main" id="{6D61E047-4B73-459A-A5BB-F5C98628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44</xdr:col>
      <xdr:colOff>92528</xdr:colOff>
      <xdr:row>12</xdr:row>
      <xdr:rowOff>161243</xdr:rowOff>
    </xdr:from>
    <xdr:to>
      <xdr:col>44</xdr:col>
      <xdr:colOff>625078</xdr:colOff>
      <xdr:row>51</xdr:row>
      <xdr:rowOff>23812</xdr:rowOff>
    </xdr:to>
    <xdr:sp macro="" textlink="">
      <xdr:nvSpPr>
        <xdr:cNvPr id="93" name="Rectangle 92">
          <a:extLst>
            <a:ext uri="{FF2B5EF4-FFF2-40B4-BE49-F238E27FC236}">
              <a16:creationId xmlns:a16="http://schemas.microsoft.com/office/drawing/2014/main" id="{5BE6745F-E76A-4A18-9692-A4DD0F0D0682}"/>
            </a:ext>
          </a:extLst>
        </xdr:cNvPr>
        <xdr:cNvSpPr/>
      </xdr:nvSpPr>
      <xdr:spPr>
        <a:xfrm>
          <a:off x="270482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54</xdr:col>
      <xdr:colOff>6803</xdr:colOff>
      <xdr:row>12</xdr:row>
      <xdr:rowOff>158862</xdr:rowOff>
    </xdr:from>
    <xdr:to>
      <xdr:col>54</xdr:col>
      <xdr:colOff>506016</xdr:colOff>
      <xdr:row>51</xdr:row>
      <xdr:rowOff>17859</xdr:rowOff>
    </xdr:to>
    <xdr:sp macro="" textlink="">
      <xdr:nvSpPr>
        <xdr:cNvPr id="94" name="Rectangle 93">
          <a:extLst>
            <a:ext uri="{FF2B5EF4-FFF2-40B4-BE49-F238E27FC236}">
              <a16:creationId xmlns:a16="http://schemas.microsoft.com/office/drawing/2014/main" id="{A6E8FBE2-8FF7-4E82-BC9C-0393DCCDAF58}"/>
            </a:ext>
          </a:extLst>
        </xdr:cNvPr>
        <xdr:cNvSpPr/>
      </xdr:nvSpPr>
      <xdr:spPr>
        <a:xfrm>
          <a:off x="330585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202410</xdr:colOff>
      <xdr:row>50</xdr:row>
      <xdr:rowOff>11906</xdr:rowOff>
    </xdr:from>
    <xdr:to>
      <xdr:col>54</xdr:col>
      <xdr:colOff>369094</xdr:colOff>
      <xdr:row>51</xdr:row>
      <xdr:rowOff>23812</xdr:rowOff>
    </xdr:to>
    <xdr:sp macro="" textlink="">
      <xdr:nvSpPr>
        <xdr:cNvPr id="95" name="Rectangle 94">
          <a:extLst>
            <a:ext uri="{FF2B5EF4-FFF2-40B4-BE49-F238E27FC236}">
              <a16:creationId xmlns:a16="http://schemas.microsoft.com/office/drawing/2014/main" id="{B8945D20-F6A6-4893-8F2F-3041C6AD26E3}"/>
            </a:ext>
          </a:extLst>
        </xdr:cNvPr>
        <xdr:cNvSpPr/>
      </xdr:nvSpPr>
      <xdr:spPr>
        <a:xfrm rot="16200000">
          <a:off x="301882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278076</xdr:colOff>
      <xdr:row>2</xdr:row>
      <xdr:rowOff>79720</xdr:rowOff>
    </xdr:from>
    <xdr:to>
      <xdr:col>10</xdr:col>
      <xdr:colOff>392168</xdr:colOff>
      <xdr:row>4</xdr:row>
      <xdr:rowOff>21311</xdr:rowOff>
    </xdr:to>
    <xdr:pic>
      <xdr:nvPicPr>
        <xdr:cNvPr id="96" name="Picture 95">
          <a:extLst>
            <a:ext uri="{FF2B5EF4-FFF2-40B4-BE49-F238E27FC236}">
              <a16:creationId xmlns:a16="http://schemas.microsoft.com/office/drawing/2014/main" id="{43468E0F-87FE-4B82-B101-CFFB0809D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145226" y="460720"/>
          <a:ext cx="2476292" cy="322591"/>
        </a:xfrm>
        <a:prstGeom prst="rect">
          <a:avLst/>
        </a:prstGeom>
      </xdr:spPr>
    </xdr:pic>
    <xdr:clientData/>
  </xdr:twoCellAnchor>
  <xdr:twoCellAnchor editAs="oneCell">
    <xdr:from>
      <xdr:col>5</xdr:col>
      <xdr:colOff>599884</xdr:colOff>
      <xdr:row>26</xdr:row>
      <xdr:rowOff>53578</xdr:rowOff>
    </xdr:from>
    <xdr:to>
      <xdr:col>6</xdr:col>
      <xdr:colOff>581785</xdr:colOff>
      <xdr:row>26</xdr:row>
      <xdr:rowOff>166128</xdr:rowOff>
    </xdr:to>
    <xdr:pic>
      <xdr:nvPicPr>
        <xdr:cNvPr id="97" name="Picture 96">
          <a:extLst>
            <a:ext uri="{FF2B5EF4-FFF2-40B4-BE49-F238E27FC236}">
              <a16:creationId xmlns:a16="http://schemas.microsoft.com/office/drawing/2014/main" id="{663CC78A-179C-4CB6-A11E-C08FFB1952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857434" y="5035153"/>
          <a:ext cx="591501" cy="112550"/>
        </a:xfrm>
        <a:prstGeom prst="rect">
          <a:avLst/>
        </a:prstGeom>
      </xdr:spPr>
    </xdr:pic>
    <xdr:clientData/>
  </xdr:twoCellAnchor>
  <xdr:twoCellAnchor editAs="oneCell">
    <xdr:from>
      <xdr:col>5</xdr:col>
      <xdr:colOff>263879</xdr:colOff>
      <xdr:row>27</xdr:row>
      <xdr:rowOff>30391</xdr:rowOff>
    </xdr:from>
    <xdr:to>
      <xdr:col>6</xdr:col>
      <xdr:colOff>564562</xdr:colOff>
      <xdr:row>27</xdr:row>
      <xdr:rowOff>173076</xdr:rowOff>
    </xdr:to>
    <xdr:pic>
      <xdr:nvPicPr>
        <xdr:cNvPr id="98" name="Picture 97">
          <a:extLst>
            <a:ext uri="{FF2B5EF4-FFF2-40B4-BE49-F238E27FC236}">
              <a16:creationId xmlns:a16="http://schemas.microsoft.com/office/drawing/2014/main" id="{F798D3BF-8E18-44F8-A7C2-5CD3F64597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521429" y="5202466"/>
          <a:ext cx="910283" cy="142685"/>
        </a:xfrm>
        <a:prstGeom prst="rect">
          <a:avLst/>
        </a:prstGeom>
      </xdr:spPr>
    </xdr:pic>
    <xdr:clientData/>
  </xdr:twoCellAnchor>
  <xdr:twoCellAnchor editAs="oneCell">
    <xdr:from>
      <xdr:col>4</xdr:col>
      <xdr:colOff>464794</xdr:colOff>
      <xdr:row>28</xdr:row>
      <xdr:rowOff>28105</xdr:rowOff>
    </xdr:from>
    <xdr:to>
      <xdr:col>6</xdr:col>
      <xdr:colOff>558279</xdr:colOff>
      <xdr:row>28</xdr:row>
      <xdr:rowOff>171440</xdr:rowOff>
    </xdr:to>
    <xdr:pic>
      <xdr:nvPicPr>
        <xdr:cNvPr id="99" name="Picture 98">
          <a:extLst>
            <a:ext uri="{FF2B5EF4-FFF2-40B4-BE49-F238E27FC236}">
              <a16:creationId xmlns:a16="http://schemas.microsoft.com/office/drawing/2014/main" id="{067F96E3-79EF-4F33-BEA9-A6C00D142E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112744" y="5390680"/>
          <a:ext cx="1312685" cy="143335"/>
        </a:xfrm>
        <a:prstGeom prst="rect">
          <a:avLst/>
        </a:prstGeom>
      </xdr:spPr>
    </xdr:pic>
    <xdr:clientData/>
  </xdr:twoCellAnchor>
  <xdr:twoCellAnchor editAs="oneCell">
    <xdr:from>
      <xdr:col>4</xdr:col>
      <xdr:colOff>143860</xdr:colOff>
      <xdr:row>18</xdr:row>
      <xdr:rowOff>115976</xdr:rowOff>
    </xdr:from>
    <xdr:to>
      <xdr:col>8</xdr:col>
      <xdr:colOff>255534</xdr:colOff>
      <xdr:row>19</xdr:row>
      <xdr:rowOff>57648</xdr:rowOff>
    </xdr:to>
    <xdr:pic>
      <xdr:nvPicPr>
        <xdr:cNvPr id="100" name="Picture 99">
          <a:extLst>
            <a:ext uri="{FF2B5EF4-FFF2-40B4-BE49-F238E27FC236}">
              <a16:creationId xmlns:a16="http://schemas.microsoft.com/office/drawing/2014/main" id="{1B9231FB-BA09-465C-8BD3-76290535C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791810" y="3554501"/>
          <a:ext cx="2550074" cy="132172"/>
        </a:xfrm>
        <a:prstGeom prst="rect">
          <a:avLst/>
        </a:prstGeom>
      </xdr:spPr>
    </xdr:pic>
    <xdr:clientData/>
  </xdr:twoCellAnchor>
  <xdr:twoCellAnchor editAs="absolute">
    <xdr:from>
      <xdr:col>17</xdr:col>
      <xdr:colOff>424264</xdr:colOff>
      <xdr:row>2</xdr:row>
      <xdr:rowOff>72680</xdr:rowOff>
    </xdr:from>
    <xdr:to>
      <xdr:col>21</xdr:col>
      <xdr:colOff>466919</xdr:colOff>
      <xdr:row>4</xdr:row>
      <xdr:rowOff>14271</xdr:rowOff>
    </xdr:to>
    <xdr:pic>
      <xdr:nvPicPr>
        <xdr:cNvPr id="101" name="Picture 100">
          <a:extLst>
            <a:ext uri="{FF2B5EF4-FFF2-40B4-BE49-F238E27FC236}">
              <a16:creationId xmlns:a16="http://schemas.microsoft.com/office/drawing/2014/main" id="{B6CB426F-48DF-4733-B453-CF4487FE5B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0920814" y="453680"/>
          <a:ext cx="2481055" cy="322591"/>
        </a:xfrm>
        <a:prstGeom prst="rect">
          <a:avLst/>
        </a:prstGeom>
      </xdr:spPr>
    </xdr:pic>
    <xdr:clientData/>
  </xdr:twoCellAnchor>
  <xdr:twoCellAnchor editAs="absolute">
    <xdr:from>
      <xdr:col>28</xdr:col>
      <xdr:colOff>449320</xdr:colOff>
      <xdr:row>2</xdr:row>
      <xdr:rowOff>39270</xdr:rowOff>
    </xdr:from>
    <xdr:to>
      <xdr:col>32</xdr:col>
      <xdr:colOff>491975</xdr:colOff>
      <xdr:row>3</xdr:row>
      <xdr:rowOff>171361</xdr:rowOff>
    </xdr:to>
    <xdr:pic>
      <xdr:nvPicPr>
        <xdr:cNvPr id="102" name="Picture 101">
          <a:extLst>
            <a:ext uri="{FF2B5EF4-FFF2-40B4-BE49-F238E27FC236}">
              <a16:creationId xmlns:a16="http://schemas.microsoft.com/office/drawing/2014/main" id="{129EB8B3-03FE-469A-8F18-FCB9F7C068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651470" y="420270"/>
          <a:ext cx="2481055" cy="322591"/>
        </a:xfrm>
        <a:prstGeom prst="rect">
          <a:avLst/>
        </a:prstGeom>
      </xdr:spPr>
    </xdr:pic>
    <xdr:clientData/>
  </xdr:twoCellAnchor>
  <xdr:twoCellAnchor editAs="absolute">
    <xdr:from>
      <xdr:col>39</xdr:col>
      <xdr:colOff>442280</xdr:colOff>
      <xdr:row>2</xdr:row>
      <xdr:rowOff>45385</xdr:rowOff>
    </xdr:from>
    <xdr:to>
      <xdr:col>43</xdr:col>
      <xdr:colOff>484935</xdr:colOff>
      <xdr:row>3</xdr:row>
      <xdr:rowOff>177476</xdr:rowOff>
    </xdr:to>
    <xdr:pic>
      <xdr:nvPicPr>
        <xdr:cNvPr id="103" name="Picture 102">
          <a:extLst>
            <a:ext uri="{FF2B5EF4-FFF2-40B4-BE49-F238E27FC236}">
              <a16:creationId xmlns:a16="http://schemas.microsoft.com/office/drawing/2014/main" id="{CA5A7539-1828-481C-B934-F2DE3DCC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4350030" y="426385"/>
          <a:ext cx="2481055" cy="322591"/>
        </a:xfrm>
        <a:prstGeom prst="rect">
          <a:avLst/>
        </a:prstGeom>
      </xdr:spPr>
    </xdr:pic>
    <xdr:clientData/>
  </xdr:twoCellAnchor>
  <xdr:twoCellAnchor editAs="absolute">
    <xdr:from>
      <xdr:col>50</xdr:col>
      <xdr:colOff>446293</xdr:colOff>
      <xdr:row>2</xdr:row>
      <xdr:rowOff>69526</xdr:rowOff>
    </xdr:from>
    <xdr:to>
      <xdr:col>54</xdr:col>
      <xdr:colOff>488948</xdr:colOff>
      <xdr:row>4</xdr:row>
      <xdr:rowOff>11117</xdr:rowOff>
    </xdr:to>
    <xdr:pic>
      <xdr:nvPicPr>
        <xdr:cNvPr id="104" name="Picture 103">
          <a:extLst>
            <a:ext uri="{FF2B5EF4-FFF2-40B4-BE49-F238E27FC236}">
              <a16:creationId xmlns:a16="http://schemas.microsoft.com/office/drawing/2014/main" id="{966D3598-BEF6-4092-9615-23F3F3F1C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1059643" y="450526"/>
          <a:ext cx="2481055" cy="322591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6</xdr:row>
      <xdr:rowOff>161059</xdr:rowOff>
    </xdr:from>
    <xdr:to>
      <xdr:col>54</xdr:col>
      <xdr:colOff>499110</xdr:colOff>
      <xdr:row>10</xdr:row>
      <xdr:rowOff>173182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506A005E-74C5-4DCB-9104-2B1ED26FA956}"/>
            </a:ext>
          </a:extLst>
        </xdr:cNvPr>
        <xdr:cNvGrpSpPr/>
      </xdr:nvGrpSpPr>
      <xdr:grpSpPr>
        <a:xfrm>
          <a:off x="26955750" y="1304059"/>
          <a:ext cx="6476048" cy="774123"/>
          <a:chOff x="26921114" y="1321377"/>
          <a:chExt cx="6451022" cy="774123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C34DB2AB-04EB-45FD-8361-E73796D09A34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07" name="Picture 106">
            <a:extLst>
              <a:ext uri="{FF2B5EF4-FFF2-40B4-BE49-F238E27FC236}">
                <a16:creationId xmlns:a16="http://schemas.microsoft.com/office/drawing/2014/main" id="{9886EFDD-BB0D-40DA-8778-16DDD01710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98563</xdr:colOff>
      <xdr:row>6</xdr:row>
      <xdr:rowOff>180938</xdr:rowOff>
    </xdr:from>
    <xdr:to>
      <xdr:col>21</xdr:col>
      <xdr:colOff>502423</xdr:colOff>
      <xdr:row>11</xdr:row>
      <xdr:rowOff>2561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D874D888-F0F6-489F-9C04-6856424478C0}"/>
            </a:ext>
          </a:extLst>
        </xdr:cNvPr>
        <xdr:cNvGrpSpPr/>
      </xdr:nvGrpSpPr>
      <xdr:grpSpPr>
        <a:xfrm>
          <a:off x="6920844" y="1323938"/>
          <a:ext cx="6476048" cy="774123"/>
          <a:chOff x="26921114" y="1321377"/>
          <a:chExt cx="6451022" cy="774123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6A816DD7-5121-44D8-9113-14529EE80DDD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10" name="Picture 109">
            <a:extLst>
              <a:ext uri="{FF2B5EF4-FFF2-40B4-BE49-F238E27FC236}">
                <a16:creationId xmlns:a16="http://schemas.microsoft.com/office/drawing/2014/main" id="{5AEAD0C3-0A0B-4912-B7A1-0F61155A78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90280</xdr:colOff>
      <xdr:row>6</xdr:row>
      <xdr:rowOff>172654</xdr:rowOff>
    </xdr:from>
    <xdr:to>
      <xdr:col>32</xdr:col>
      <xdr:colOff>494139</xdr:colOff>
      <xdr:row>10</xdr:row>
      <xdr:rowOff>184777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A966CECE-4DD7-423C-8D43-A4B0B151F7D3}"/>
            </a:ext>
          </a:extLst>
        </xdr:cNvPr>
        <xdr:cNvGrpSpPr/>
      </xdr:nvGrpSpPr>
      <xdr:grpSpPr>
        <a:xfrm>
          <a:off x="13591968" y="1315654"/>
          <a:ext cx="6476046" cy="774123"/>
          <a:chOff x="26921114" y="1321377"/>
          <a:chExt cx="6451022" cy="774123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BABEEDE1-A188-4AED-83CE-5F8508E667C5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13" name="Picture 112">
            <a:extLst>
              <a:ext uri="{FF2B5EF4-FFF2-40B4-BE49-F238E27FC236}">
                <a16:creationId xmlns:a16="http://schemas.microsoft.com/office/drawing/2014/main" id="{97510987-0C25-459C-A78D-2868218480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101874</xdr:colOff>
      <xdr:row>6</xdr:row>
      <xdr:rowOff>159402</xdr:rowOff>
    </xdr:from>
    <xdr:to>
      <xdr:col>43</xdr:col>
      <xdr:colOff>505734</xdr:colOff>
      <xdr:row>10</xdr:row>
      <xdr:rowOff>171525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584278F-C829-4464-8028-35EB3821FF9E}"/>
            </a:ext>
          </a:extLst>
        </xdr:cNvPr>
        <xdr:cNvGrpSpPr/>
      </xdr:nvGrpSpPr>
      <xdr:grpSpPr>
        <a:xfrm>
          <a:off x="20282968" y="1302402"/>
          <a:ext cx="6476047" cy="774123"/>
          <a:chOff x="26921114" y="1321377"/>
          <a:chExt cx="6451022" cy="774123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A8FBC4D4-C8B7-4790-9245-B91D44A68EC2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16" name="Picture 115">
            <a:extLst>
              <a:ext uri="{FF2B5EF4-FFF2-40B4-BE49-F238E27FC236}">
                <a16:creationId xmlns:a16="http://schemas.microsoft.com/office/drawing/2014/main" id="{A8FB7299-F25B-489C-9A79-428E255A7E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509689</xdr:colOff>
      <xdr:row>21</xdr:row>
      <xdr:rowOff>190506</xdr:rowOff>
    </xdr:from>
    <xdr:to>
      <xdr:col>10</xdr:col>
      <xdr:colOff>455542</xdr:colOff>
      <xdr:row>29</xdr:row>
      <xdr:rowOff>4648</xdr:rowOff>
    </xdr:to>
    <xdr:sp macro="" textlink="">
      <xdr:nvSpPr>
        <xdr:cNvPr id="117" name="Rectangle 116">
          <a:extLst>
            <a:ext uri="{FF2B5EF4-FFF2-40B4-BE49-F238E27FC236}">
              <a16:creationId xmlns:a16="http://schemas.microsoft.com/office/drawing/2014/main" id="{91221AF6-817F-4736-A6F1-6175E924FB02}"/>
            </a:ext>
          </a:extLst>
        </xdr:cNvPr>
        <xdr:cNvSpPr/>
      </xdr:nvSpPr>
      <xdr:spPr>
        <a:xfrm rot="5400000">
          <a:off x="5766670" y="4639500"/>
          <a:ext cx="1357192" cy="479253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6</xdr:col>
      <xdr:colOff>32844</xdr:colOff>
      <xdr:row>25</xdr:row>
      <xdr:rowOff>31289</xdr:rowOff>
    </xdr:from>
    <xdr:to>
      <xdr:col>6</xdr:col>
      <xdr:colOff>543028</xdr:colOff>
      <xdr:row>25</xdr:row>
      <xdr:rowOff>177055</xdr:rowOff>
    </xdr:to>
    <xdr:pic>
      <xdr:nvPicPr>
        <xdr:cNvPr id="118" name="Picture 117">
          <a:extLst>
            <a:ext uri="{FF2B5EF4-FFF2-40B4-BE49-F238E27FC236}">
              <a16:creationId xmlns:a16="http://schemas.microsoft.com/office/drawing/2014/main" id="{94125BE7-F255-4F19-BE10-6B5D40EC24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3899994" y="4822364"/>
          <a:ext cx="510184" cy="145766"/>
        </a:xfrm>
        <a:prstGeom prst="rect">
          <a:avLst/>
        </a:prstGeom>
      </xdr:spPr>
    </xdr:pic>
    <xdr:clientData/>
  </xdr:twoCellAnchor>
  <xdr:twoCellAnchor editAs="oneCell">
    <xdr:from>
      <xdr:col>3</xdr:col>
      <xdr:colOff>271096</xdr:colOff>
      <xdr:row>23</xdr:row>
      <xdr:rowOff>22531</xdr:rowOff>
    </xdr:from>
    <xdr:to>
      <xdr:col>6</xdr:col>
      <xdr:colOff>563078</xdr:colOff>
      <xdr:row>23</xdr:row>
      <xdr:rowOff>183172</xdr:rowOff>
    </xdr:to>
    <xdr:pic>
      <xdr:nvPicPr>
        <xdr:cNvPr id="119" name="Picture 118">
          <a:extLst>
            <a:ext uri="{FF2B5EF4-FFF2-40B4-BE49-F238E27FC236}">
              <a16:creationId xmlns:a16="http://schemas.microsoft.com/office/drawing/2014/main" id="{B5CA3896-828D-48A6-96AA-CACD7CC83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185621" y="4423081"/>
          <a:ext cx="2244607" cy="160641"/>
        </a:xfrm>
        <a:prstGeom prst="rect">
          <a:avLst/>
        </a:prstGeom>
      </xdr:spPr>
    </xdr:pic>
    <xdr:clientData/>
  </xdr:twoCellAnchor>
  <xdr:twoCellAnchor editAs="oneCell">
    <xdr:from>
      <xdr:col>3</xdr:col>
      <xdr:colOff>278422</xdr:colOff>
      <xdr:row>24</xdr:row>
      <xdr:rowOff>27719</xdr:rowOff>
    </xdr:from>
    <xdr:to>
      <xdr:col>6</xdr:col>
      <xdr:colOff>559496</xdr:colOff>
      <xdr:row>24</xdr:row>
      <xdr:rowOff>184671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09C1A96E-D52C-4B08-A962-2D4DAD3FF4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192947" y="4618769"/>
          <a:ext cx="2233699" cy="156952"/>
        </a:xfrm>
        <a:prstGeom prst="rect">
          <a:avLst/>
        </a:prstGeom>
      </xdr:spPr>
    </xdr:pic>
    <xdr:clientData/>
  </xdr:twoCellAnchor>
  <xdr:twoCellAnchor editAs="oneCell">
    <xdr:from>
      <xdr:col>1</xdr:col>
      <xdr:colOff>395652</xdr:colOff>
      <xdr:row>22</xdr:row>
      <xdr:rowOff>45447</xdr:rowOff>
    </xdr:from>
    <xdr:to>
      <xdr:col>6</xdr:col>
      <xdr:colOff>580922</xdr:colOff>
      <xdr:row>23</xdr:row>
      <xdr:rowOff>28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41415226-C3F2-475C-BECC-46F5B4A00F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05252" y="4255497"/>
          <a:ext cx="3442820" cy="145081"/>
        </a:xfrm>
        <a:prstGeom prst="rect">
          <a:avLst/>
        </a:prstGeom>
      </xdr:spPr>
    </xdr:pic>
    <xdr:clientData/>
  </xdr:twoCellAnchor>
  <xdr:twoCellAnchor>
    <xdr:from>
      <xdr:col>0</xdr:col>
      <xdr:colOff>70757</xdr:colOff>
      <xdr:row>29</xdr:row>
      <xdr:rowOff>5443</xdr:rowOff>
    </xdr:from>
    <xdr:to>
      <xdr:col>10</xdr:col>
      <xdr:colOff>457201</xdr:colOff>
      <xdr:row>29</xdr:row>
      <xdr:rowOff>103415</xdr:rowOff>
    </xdr:to>
    <xdr:sp macro="" textlink="">
      <xdr:nvSpPr>
        <xdr:cNvPr id="122" name="Rectangle 121">
          <a:extLst>
            <a:ext uri="{FF2B5EF4-FFF2-40B4-BE49-F238E27FC236}">
              <a16:creationId xmlns:a16="http://schemas.microsoft.com/office/drawing/2014/main" id="{FFBA0957-491C-4D1A-AAA6-36E616161F61}"/>
            </a:ext>
          </a:extLst>
        </xdr:cNvPr>
        <xdr:cNvSpPr/>
      </xdr:nvSpPr>
      <xdr:spPr>
        <a:xfrm>
          <a:off x="70757" y="5565662"/>
          <a:ext cx="6601507" cy="979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65314</xdr:colOff>
      <xdr:row>28</xdr:row>
      <xdr:rowOff>174172</xdr:rowOff>
    </xdr:from>
    <xdr:to>
      <xdr:col>6</xdr:col>
      <xdr:colOff>598715</xdr:colOff>
      <xdr:row>29</xdr:row>
      <xdr:rowOff>32657</xdr:rowOff>
    </xdr:to>
    <xdr:sp macro="" textlink="">
      <xdr:nvSpPr>
        <xdr:cNvPr id="123" name="Rectangle 122">
          <a:extLst>
            <a:ext uri="{FF2B5EF4-FFF2-40B4-BE49-F238E27FC236}">
              <a16:creationId xmlns:a16="http://schemas.microsoft.com/office/drawing/2014/main" id="{3C697931-0B70-4899-8DFF-151A6DB82D9F}"/>
            </a:ext>
          </a:extLst>
        </xdr:cNvPr>
        <xdr:cNvSpPr/>
      </xdr:nvSpPr>
      <xdr:spPr>
        <a:xfrm>
          <a:off x="65314" y="5536747"/>
          <a:ext cx="4400551" cy="48985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45</xdr:col>
      <xdr:colOff>130969</xdr:colOff>
      <xdr:row>7</xdr:row>
      <xdr:rowOff>23812</xdr:rowOff>
    </xdr:from>
    <xdr:to>
      <xdr:col>54</xdr:col>
      <xdr:colOff>22166</xdr:colOff>
      <xdr:row>10</xdr:row>
      <xdr:rowOff>130968</xdr:rowOff>
    </xdr:to>
    <xdr:pic>
      <xdr:nvPicPr>
        <xdr:cNvPr id="128" name="Picture 127">
          <a:extLst>
            <a:ext uri="{FF2B5EF4-FFF2-40B4-BE49-F238E27FC236}">
              <a16:creationId xmlns:a16="http://schemas.microsoft.com/office/drawing/2014/main" id="{A5DE2CC8-AD10-4CE1-AFFD-0504E5754B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7696319" y="1357312"/>
          <a:ext cx="5377597" cy="678656"/>
        </a:xfrm>
        <a:prstGeom prst="rect">
          <a:avLst/>
        </a:prstGeom>
      </xdr:spPr>
    </xdr:pic>
    <xdr:clientData/>
  </xdr:twoCellAnchor>
  <xdr:twoCellAnchor editAs="oneCell">
    <xdr:from>
      <xdr:col>7</xdr:col>
      <xdr:colOff>285751</xdr:colOff>
      <xdr:row>12</xdr:row>
      <xdr:rowOff>59531</xdr:rowOff>
    </xdr:from>
    <xdr:to>
      <xdr:col>9</xdr:col>
      <xdr:colOff>132054</xdr:colOff>
      <xdr:row>13</xdr:row>
      <xdr:rowOff>95250</xdr:rowOff>
    </xdr:to>
    <xdr:pic>
      <xdr:nvPicPr>
        <xdr:cNvPr id="138" name="Picture 137">
          <a:extLst>
            <a:ext uri="{FF2B5EF4-FFF2-40B4-BE49-F238E27FC236}">
              <a16:creationId xmlns:a16="http://schemas.microsoft.com/office/drawing/2014/main" id="{12BA3A16-47D2-4979-9473-CE422F5292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4750595" y="2345531"/>
          <a:ext cx="1060740" cy="238125"/>
        </a:xfrm>
        <a:prstGeom prst="rect">
          <a:avLst/>
        </a:prstGeom>
      </xdr:spPr>
    </xdr:pic>
    <xdr:clientData/>
  </xdr:twoCellAnchor>
  <xdr:twoCellAnchor editAs="oneCell">
    <xdr:from>
      <xdr:col>18</xdr:col>
      <xdr:colOff>604837</xdr:colOff>
      <xdr:row>9</xdr:row>
      <xdr:rowOff>57150</xdr:rowOff>
    </xdr:from>
    <xdr:to>
      <xdr:col>20</xdr:col>
      <xdr:colOff>323980</xdr:colOff>
      <xdr:row>10</xdr:row>
      <xdr:rowOff>76229</xdr:rowOff>
    </xdr:to>
    <xdr:pic>
      <xdr:nvPicPr>
        <xdr:cNvPr id="139" name="Picture 138">
          <a:extLst>
            <a:ext uri="{FF2B5EF4-FFF2-40B4-BE49-F238E27FC236}">
              <a16:creationId xmlns:a16="http://schemas.microsoft.com/office/drawing/2014/main" id="{3A4B1766-1E59-44D5-BF77-DED9884218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1677650" y="1771650"/>
          <a:ext cx="933580" cy="209579"/>
        </a:xfrm>
        <a:prstGeom prst="rect">
          <a:avLst/>
        </a:prstGeom>
      </xdr:spPr>
    </xdr:pic>
    <xdr:clientData/>
  </xdr:twoCellAnchor>
  <xdr:twoCellAnchor editAs="oneCell">
    <xdr:from>
      <xdr:col>30</xdr:col>
      <xdr:colOff>30956</xdr:colOff>
      <xdr:row>9</xdr:row>
      <xdr:rowOff>42862</xdr:rowOff>
    </xdr:from>
    <xdr:to>
      <xdr:col>31</xdr:col>
      <xdr:colOff>357318</xdr:colOff>
      <xdr:row>10</xdr:row>
      <xdr:rowOff>61941</xdr:rowOff>
    </xdr:to>
    <xdr:pic>
      <xdr:nvPicPr>
        <xdr:cNvPr id="140" name="Picture 139">
          <a:extLst>
            <a:ext uri="{FF2B5EF4-FFF2-40B4-BE49-F238E27FC236}">
              <a16:creationId xmlns:a16="http://schemas.microsoft.com/office/drawing/2014/main" id="{651A5F66-2DF2-4358-877C-24D7ABFEA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8390394" y="1757362"/>
          <a:ext cx="933580" cy="209579"/>
        </a:xfrm>
        <a:prstGeom prst="rect">
          <a:avLst/>
        </a:prstGeom>
      </xdr:spPr>
    </xdr:pic>
    <xdr:clientData/>
  </xdr:twoCellAnchor>
  <xdr:twoCellAnchor editAs="oneCell">
    <xdr:from>
      <xdr:col>41</xdr:col>
      <xdr:colOff>78582</xdr:colOff>
      <xdr:row>9</xdr:row>
      <xdr:rowOff>19048</xdr:rowOff>
    </xdr:from>
    <xdr:to>
      <xdr:col>42</xdr:col>
      <xdr:colOff>404943</xdr:colOff>
      <xdr:row>10</xdr:row>
      <xdr:rowOff>38127</xdr:rowOff>
    </xdr:to>
    <xdr:pic>
      <xdr:nvPicPr>
        <xdr:cNvPr id="141" name="Picture 140">
          <a:extLst>
            <a:ext uri="{FF2B5EF4-FFF2-40B4-BE49-F238E27FC236}">
              <a16:creationId xmlns:a16="http://schemas.microsoft.com/office/drawing/2014/main" id="{9E06CAD0-355A-4500-9017-E7BEF2632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117426" y="1733548"/>
          <a:ext cx="933580" cy="209579"/>
        </a:xfrm>
        <a:prstGeom prst="rect">
          <a:avLst/>
        </a:prstGeom>
      </xdr:spPr>
    </xdr:pic>
    <xdr:clientData/>
  </xdr:twoCellAnchor>
  <xdr:twoCellAnchor editAs="oneCell">
    <xdr:from>
      <xdr:col>51</xdr:col>
      <xdr:colOff>583406</xdr:colOff>
      <xdr:row>9</xdr:row>
      <xdr:rowOff>35719</xdr:rowOff>
    </xdr:from>
    <xdr:to>
      <xdr:col>53</xdr:col>
      <xdr:colOff>302548</xdr:colOff>
      <xdr:row>10</xdr:row>
      <xdr:rowOff>54798</xdr:rowOff>
    </xdr:to>
    <xdr:pic>
      <xdr:nvPicPr>
        <xdr:cNvPr id="142" name="Picture 141">
          <a:extLst>
            <a:ext uri="{FF2B5EF4-FFF2-40B4-BE49-F238E27FC236}">
              <a16:creationId xmlns:a16="http://schemas.microsoft.com/office/drawing/2014/main" id="{D9CB2D74-3510-44CE-897B-9D6CFF36C9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31694437" y="1750219"/>
          <a:ext cx="933580" cy="209579"/>
        </a:xfrm>
        <a:prstGeom prst="rect">
          <a:avLst/>
        </a:prstGeom>
      </xdr:spPr>
    </xdr:pic>
    <xdr:clientData/>
  </xdr:twoCellAnchor>
  <xdr:twoCellAnchor editAs="oneCell">
    <xdr:from>
      <xdr:col>18</xdr:col>
      <xdr:colOff>426244</xdr:colOff>
      <xdr:row>9</xdr:row>
      <xdr:rowOff>33337</xdr:rowOff>
    </xdr:from>
    <xdr:to>
      <xdr:col>20</xdr:col>
      <xdr:colOff>272547</xdr:colOff>
      <xdr:row>10</xdr:row>
      <xdr:rowOff>80962</xdr:rowOff>
    </xdr:to>
    <xdr:pic>
      <xdr:nvPicPr>
        <xdr:cNvPr id="143" name="Picture 142">
          <a:extLst>
            <a:ext uri="{FF2B5EF4-FFF2-40B4-BE49-F238E27FC236}">
              <a16:creationId xmlns:a16="http://schemas.microsoft.com/office/drawing/2014/main" id="{F023C696-AC5D-4151-A33C-75D64C472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1499057" y="1747837"/>
          <a:ext cx="1060740" cy="238125"/>
        </a:xfrm>
        <a:prstGeom prst="rect">
          <a:avLst/>
        </a:prstGeom>
      </xdr:spPr>
    </xdr:pic>
    <xdr:clientData/>
  </xdr:twoCellAnchor>
  <xdr:twoCellAnchor editAs="oneCell">
    <xdr:from>
      <xdr:col>29</xdr:col>
      <xdr:colOff>411956</xdr:colOff>
      <xdr:row>9</xdr:row>
      <xdr:rowOff>7143</xdr:rowOff>
    </xdr:from>
    <xdr:to>
      <xdr:col>31</xdr:col>
      <xdr:colOff>309563</xdr:colOff>
      <xdr:row>10</xdr:row>
      <xdr:rowOff>66285</xdr:rowOff>
    </xdr:to>
    <xdr:pic>
      <xdr:nvPicPr>
        <xdr:cNvPr id="144" name="Picture 143">
          <a:extLst>
            <a:ext uri="{FF2B5EF4-FFF2-40B4-BE49-F238E27FC236}">
              <a16:creationId xmlns:a16="http://schemas.microsoft.com/office/drawing/2014/main" id="{F7FD7AEE-9F8E-4806-9D5E-C4DE75BCF2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8164175" y="1721643"/>
          <a:ext cx="1112044" cy="249642"/>
        </a:xfrm>
        <a:prstGeom prst="rect">
          <a:avLst/>
        </a:prstGeom>
      </xdr:spPr>
    </xdr:pic>
    <xdr:clientData/>
  </xdr:twoCellAnchor>
  <xdr:twoCellAnchor editAs="oneCell">
    <xdr:from>
      <xdr:col>40</xdr:col>
      <xdr:colOff>445293</xdr:colOff>
      <xdr:row>9</xdr:row>
      <xdr:rowOff>4762</xdr:rowOff>
    </xdr:from>
    <xdr:to>
      <xdr:col>42</xdr:col>
      <xdr:colOff>345280</xdr:colOff>
      <xdr:row>10</xdr:row>
      <xdr:rowOff>64439</xdr:rowOff>
    </xdr:to>
    <xdr:pic>
      <xdr:nvPicPr>
        <xdr:cNvPr id="145" name="Picture 144">
          <a:extLst>
            <a:ext uri="{FF2B5EF4-FFF2-40B4-BE49-F238E27FC236}">
              <a16:creationId xmlns:a16="http://schemas.microsoft.com/office/drawing/2014/main" id="{CA3B7BC3-3853-4F2B-AB74-3AA62386B2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4876918" y="1719262"/>
          <a:ext cx="1114425" cy="250177"/>
        </a:xfrm>
        <a:prstGeom prst="rect">
          <a:avLst/>
        </a:prstGeom>
      </xdr:spPr>
    </xdr:pic>
    <xdr:clientData/>
  </xdr:twoCellAnchor>
  <xdr:twoCellAnchor editAs="oneCell">
    <xdr:from>
      <xdr:col>51</xdr:col>
      <xdr:colOff>597694</xdr:colOff>
      <xdr:row>9</xdr:row>
      <xdr:rowOff>14287</xdr:rowOff>
    </xdr:from>
    <xdr:to>
      <xdr:col>53</xdr:col>
      <xdr:colOff>443996</xdr:colOff>
      <xdr:row>10</xdr:row>
      <xdr:rowOff>61912</xdr:rowOff>
    </xdr:to>
    <xdr:pic>
      <xdr:nvPicPr>
        <xdr:cNvPr id="146" name="Picture 145">
          <a:extLst>
            <a:ext uri="{FF2B5EF4-FFF2-40B4-BE49-F238E27FC236}">
              <a16:creationId xmlns:a16="http://schemas.microsoft.com/office/drawing/2014/main" id="{F6AA998D-5D5E-4088-97F9-A8A90ED43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31708725" y="1728787"/>
          <a:ext cx="1060740" cy="238125"/>
        </a:xfrm>
        <a:prstGeom prst="rect">
          <a:avLst/>
        </a:prstGeom>
      </xdr:spPr>
    </xdr:pic>
    <xdr:clientData/>
  </xdr:twoCellAnchor>
  <xdr:twoCellAnchor editAs="oneCell">
    <xdr:from>
      <xdr:col>1</xdr:col>
      <xdr:colOff>1702</xdr:colOff>
      <xdr:row>10</xdr:row>
      <xdr:rowOff>77785</xdr:rowOff>
    </xdr:from>
    <xdr:to>
      <xdr:col>9</xdr:col>
      <xdr:colOff>406514</xdr:colOff>
      <xdr:row>15</xdr:row>
      <xdr:rowOff>119768</xdr:rowOff>
    </xdr:to>
    <xdr:pic>
      <xdr:nvPicPr>
        <xdr:cNvPr id="134" name="Picture 133">
          <a:extLst>
            <a:ext uri="{FF2B5EF4-FFF2-40B4-BE49-F238E27FC236}">
              <a16:creationId xmlns:a16="http://schemas.microsoft.com/office/drawing/2014/main" id="{C2E32845-B3B6-45C9-BB87-FDE06CAF5F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08921" y="1982785"/>
          <a:ext cx="5476874" cy="1006389"/>
        </a:xfrm>
        <a:prstGeom prst="rect">
          <a:avLst/>
        </a:prstGeom>
      </xdr:spPr>
    </xdr:pic>
    <xdr:clientData/>
  </xdr:twoCellAnchor>
  <xdr:twoCellAnchor editAs="oneCell">
    <xdr:from>
      <xdr:col>12</xdr:col>
      <xdr:colOff>168390</xdr:colOff>
      <xdr:row>7</xdr:row>
      <xdr:rowOff>101598</xdr:rowOff>
    </xdr:from>
    <xdr:to>
      <xdr:col>20</xdr:col>
      <xdr:colOff>398798</xdr:colOff>
      <xdr:row>10</xdr:row>
      <xdr:rowOff>89692</xdr:rowOff>
    </xdr:to>
    <xdr:pic>
      <xdr:nvPicPr>
        <xdr:cNvPr id="135" name="Picture 134">
          <a:extLst>
            <a:ext uri="{FF2B5EF4-FFF2-40B4-BE49-F238E27FC236}">
              <a16:creationId xmlns:a16="http://schemas.microsoft.com/office/drawing/2014/main" id="{EF0DEB7A-9A7A-461C-8ABC-6C18C75B6F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7597890" y="1435098"/>
          <a:ext cx="5088158" cy="559594"/>
        </a:xfrm>
        <a:prstGeom prst="rect">
          <a:avLst/>
        </a:prstGeom>
      </xdr:spPr>
    </xdr:pic>
    <xdr:clientData/>
  </xdr:twoCellAnchor>
  <xdr:twoCellAnchor editAs="oneCell">
    <xdr:from>
      <xdr:col>23</xdr:col>
      <xdr:colOff>106477</xdr:colOff>
      <xdr:row>7</xdr:row>
      <xdr:rowOff>87311</xdr:rowOff>
    </xdr:from>
    <xdr:to>
      <xdr:col>31</xdr:col>
      <xdr:colOff>336885</xdr:colOff>
      <xdr:row>10</xdr:row>
      <xdr:rowOff>75405</xdr:rowOff>
    </xdr:to>
    <xdr:pic>
      <xdr:nvPicPr>
        <xdr:cNvPr id="136" name="Picture 135">
          <a:extLst>
            <a:ext uri="{FF2B5EF4-FFF2-40B4-BE49-F238E27FC236}">
              <a16:creationId xmlns:a16="http://schemas.microsoft.com/office/drawing/2014/main" id="{927FBD5D-7B17-464D-952B-57BCD0A5C2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4215383" y="1420811"/>
          <a:ext cx="5088158" cy="559594"/>
        </a:xfrm>
        <a:prstGeom prst="rect">
          <a:avLst/>
        </a:prstGeom>
      </xdr:spPr>
    </xdr:pic>
    <xdr:clientData/>
  </xdr:twoCellAnchor>
  <xdr:twoCellAnchor editAs="oneCell">
    <xdr:from>
      <xdr:col>34</xdr:col>
      <xdr:colOff>104095</xdr:colOff>
      <xdr:row>7</xdr:row>
      <xdr:rowOff>96836</xdr:rowOff>
    </xdr:from>
    <xdr:to>
      <xdr:col>42</xdr:col>
      <xdr:colOff>334503</xdr:colOff>
      <xdr:row>10</xdr:row>
      <xdr:rowOff>84930</xdr:rowOff>
    </xdr:to>
    <xdr:pic>
      <xdr:nvPicPr>
        <xdr:cNvPr id="137" name="Picture 136">
          <a:extLst>
            <a:ext uri="{FF2B5EF4-FFF2-40B4-BE49-F238E27FC236}">
              <a16:creationId xmlns:a16="http://schemas.microsoft.com/office/drawing/2014/main" id="{F4DB0CAE-13D5-4451-86DB-1137A49C91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0892408" y="1430336"/>
          <a:ext cx="5088158" cy="559594"/>
        </a:xfrm>
        <a:prstGeom prst="rect">
          <a:avLst/>
        </a:prstGeom>
      </xdr:spPr>
    </xdr:pic>
    <xdr:clientData/>
  </xdr:twoCellAnchor>
  <xdr:twoCellAnchor editAs="oneCell">
    <xdr:from>
      <xdr:col>45</xdr:col>
      <xdr:colOff>125526</xdr:colOff>
      <xdr:row>7</xdr:row>
      <xdr:rowOff>94454</xdr:rowOff>
    </xdr:from>
    <xdr:to>
      <xdr:col>53</xdr:col>
      <xdr:colOff>355934</xdr:colOff>
      <xdr:row>10</xdr:row>
      <xdr:rowOff>82548</xdr:rowOff>
    </xdr:to>
    <xdr:pic>
      <xdr:nvPicPr>
        <xdr:cNvPr id="147" name="Picture 146">
          <a:extLst>
            <a:ext uri="{FF2B5EF4-FFF2-40B4-BE49-F238E27FC236}">
              <a16:creationId xmlns:a16="http://schemas.microsoft.com/office/drawing/2014/main" id="{A0B84D2B-7E99-4706-9182-5DD551E587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7593245" y="1427954"/>
          <a:ext cx="5088158" cy="559594"/>
        </a:xfrm>
        <a:prstGeom prst="rect">
          <a:avLst/>
        </a:prstGeom>
      </xdr:spPr>
    </xdr:pic>
    <xdr:clientData/>
  </xdr:twoCellAnchor>
  <xdr:twoCellAnchor editAs="oneCell">
    <xdr:from>
      <xdr:col>51</xdr:col>
      <xdr:colOff>559594</xdr:colOff>
      <xdr:row>9</xdr:row>
      <xdr:rowOff>59531</xdr:rowOff>
    </xdr:from>
    <xdr:to>
      <xdr:col>53</xdr:col>
      <xdr:colOff>345421</xdr:colOff>
      <xdr:row>10</xdr:row>
      <xdr:rowOff>59558</xdr:rowOff>
    </xdr:to>
    <xdr:pic>
      <xdr:nvPicPr>
        <xdr:cNvPr id="124" name="Picture 123">
          <a:extLst>
            <a:ext uri="{FF2B5EF4-FFF2-40B4-BE49-F238E27FC236}">
              <a16:creationId xmlns:a16="http://schemas.microsoft.com/office/drawing/2014/main" id="{7C3CE869-3F05-4576-A1B8-E0B33B3FB8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31670625" y="1774031"/>
          <a:ext cx="1000265" cy="190527"/>
        </a:xfrm>
        <a:prstGeom prst="rect">
          <a:avLst/>
        </a:prstGeom>
      </xdr:spPr>
    </xdr:pic>
    <xdr:clientData/>
  </xdr:twoCellAnchor>
  <xdr:twoCellAnchor editAs="oneCell">
    <xdr:from>
      <xdr:col>40</xdr:col>
      <xdr:colOff>532721</xdr:colOff>
      <xdr:row>9</xdr:row>
      <xdr:rowOff>49211</xdr:rowOff>
    </xdr:from>
    <xdr:to>
      <xdr:col>42</xdr:col>
      <xdr:colOff>318548</xdr:colOff>
      <xdr:row>10</xdr:row>
      <xdr:rowOff>49238</xdr:rowOff>
    </xdr:to>
    <xdr:pic>
      <xdr:nvPicPr>
        <xdr:cNvPr id="125" name="Picture 124">
          <a:extLst>
            <a:ext uri="{FF2B5EF4-FFF2-40B4-BE49-F238E27FC236}">
              <a16:creationId xmlns:a16="http://schemas.microsoft.com/office/drawing/2014/main" id="{A2973B2E-5959-42F5-960A-AEB49973F5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4964346" y="1763711"/>
          <a:ext cx="1000265" cy="190527"/>
        </a:xfrm>
        <a:prstGeom prst="rect">
          <a:avLst/>
        </a:prstGeom>
      </xdr:spPr>
    </xdr:pic>
    <xdr:clientData/>
  </xdr:twoCellAnchor>
  <xdr:twoCellAnchor editAs="oneCell">
    <xdr:from>
      <xdr:col>29</xdr:col>
      <xdr:colOff>542246</xdr:colOff>
      <xdr:row>9</xdr:row>
      <xdr:rowOff>34924</xdr:rowOff>
    </xdr:from>
    <xdr:to>
      <xdr:col>31</xdr:col>
      <xdr:colOff>328074</xdr:colOff>
      <xdr:row>10</xdr:row>
      <xdr:rowOff>34951</xdr:rowOff>
    </xdr:to>
    <xdr:pic>
      <xdr:nvPicPr>
        <xdr:cNvPr id="126" name="Picture 125">
          <a:extLst>
            <a:ext uri="{FF2B5EF4-FFF2-40B4-BE49-F238E27FC236}">
              <a16:creationId xmlns:a16="http://schemas.microsoft.com/office/drawing/2014/main" id="{75AC70EC-E564-4BE8-91AA-27425C7189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18294465" y="1749424"/>
          <a:ext cx="1000265" cy="190527"/>
        </a:xfrm>
        <a:prstGeom prst="rect">
          <a:avLst/>
        </a:prstGeom>
      </xdr:spPr>
    </xdr:pic>
    <xdr:clientData/>
  </xdr:twoCellAnchor>
  <xdr:twoCellAnchor editAs="oneCell">
    <xdr:from>
      <xdr:col>18</xdr:col>
      <xdr:colOff>599396</xdr:colOff>
      <xdr:row>9</xdr:row>
      <xdr:rowOff>56355</xdr:rowOff>
    </xdr:from>
    <xdr:to>
      <xdr:col>20</xdr:col>
      <xdr:colOff>385224</xdr:colOff>
      <xdr:row>10</xdr:row>
      <xdr:rowOff>56382</xdr:rowOff>
    </xdr:to>
    <xdr:pic>
      <xdr:nvPicPr>
        <xdr:cNvPr id="127" name="Picture 126">
          <a:extLst>
            <a:ext uri="{FF2B5EF4-FFF2-40B4-BE49-F238E27FC236}">
              <a16:creationId xmlns:a16="http://schemas.microsoft.com/office/drawing/2014/main" id="{E2CD115B-69AD-4866-A5A1-951126BBBB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11672209" y="1770855"/>
          <a:ext cx="1000265" cy="190527"/>
        </a:xfrm>
        <a:prstGeom prst="rect">
          <a:avLst/>
        </a:prstGeom>
      </xdr:spPr>
    </xdr:pic>
    <xdr:clientData/>
  </xdr:twoCellAnchor>
  <xdr:twoCellAnchor editAs="oneCell">
    <xdr:from>
      <xdr:col>7</xdr:col>
      <xdr:colOff>286571</xdr:colOff>
      <xdr:row>12</xdr:row>
      <xdr:rowOff>83343</xdr:rowOff>
    </xdr:from>
    <xdr:to>
      <xdr:col>9</xdr:col>
      <xdr:colOff>72399</xdr:colOff>
      <xdr:row>13</xdr:row>
      <xdr:rowOff>71464</xdr:rowOff>
    </xdr:to>
    <xdr:pic>
      <xdr:nvPicPr>
        <xdr:cNvPr id="129" name="Picture 128">
          <a:extLst>
            <a:ext uri="{FF2B5EF4-FFF2-40B4-BE49-F238E27FC236}">
              <a16:creationId xmlns:a16="http://schemas.microsoft.com/office/drawing/2014/main" id="{05A2023A-CCD8-4679-9FB6-40D90AF8B3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4751415" y="2369343"/>
          <a:ext cx="1000265" cy="190527"/>
        </a:xfrm>
        <a:prstGeom prst="rect">
          <a:avLst/>
        </a:prstGeom>
      </xdr:spPr>
    </xdr:pic>
    <xdr:clientData/>
  </xdr:twoCellAnchor>
  <xdr:twoCellAnchor editAs="oneCell">
    <xdr:from>
      <xdr:col>12</xdr:col>
      <xdr:colOff>166688</xdr:colOff>
      <xdr:row>7</xdr:row>
      <xdr:rowOff>107157</xdr:rowOff>
    </xdr:from>
    <xdr:to>
      <xdr:col>16</xdr:col>
      <xdr:colOff>186032</xdr:colOff>
      <xdr:row>8</xdr:row>
      <xdr:rowOff>166688</xdr:rowOff>
    </xdr:to>
    <xdr:pic>
      <xdr:nvPicPr>
        <xdr:cNvPr id="148" name="Picture 147">
          <a:extLst>
            <a:ext uri="{FF2B5EF4-FFF2-40B4-BE49-F238E27FC236}">
              <a16:creationId xmlns:a16="http://schemas.microsoft.com/office/drawing/2014/main" id="{CEA793C7-B367-4317-B6B8-EC153D45DB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596188" y="1440657"/>
          <a:ext cx="2448219" cy="250031"/>
        </a:xfrm>
        <a:prstGeom prst="rect">
          <a:avLst/>
        </a:prstGeom>
      </xdr:spPr>
    </xdr:pic>
    <xdr:clientData/>
  </xdr:twoCellAnchor>
  <xdr:twoCellAnchor editAs="oneCell">
    <xdr:from>
      <xdr:col>23</xdr:col>
      <xdr:colOff>106477</xdr:colOff>
      <xdr:row>7</xdr:row>
      <xdr:rowOff>87311</xdr:rowOff>
    </xdr:from>
    <xdr:to>
      <xdr:col>27</xdr:col>
      <xdr:colOff>125821</xdr:colOff>
      <xdr:row>8</xdr:row>
      <xdr:rowOff>146842</xdr:rowOff>
    </xdr:to>
    <xdr:pic>
      <xdr:nvPicPr>
        <xdr:cNvPr id="149" name="Picture 148">
          <a:extLst>
            <a:ext uri="{FF2B5EF4-FFF2-40B4-BE49-F238E27FC236}">
              <a16:creationId xmlns:a16="http://schemas.microsoft.com/office/drawing/2014/main" id="{F4FAB940-5DB9-4C2D-861B-D0F7704FB1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14215383" y="1420811"/>
          <a:ext cx="2448219" cy="250031"/>
        </a:xfrm>
        <a:prstGeom prst="rect">
          <a:avLst/>
        </a:prstGeom>
      </xdr:spPr>
    </xdr:pic>
    <xdr:clientData/>
  </xdr:twoCellAnchor>
  <xdr:twoCellAnchor editAs="oneCell">
    <xdr:from>
      <xdr:col>34</xdr:col>
      <xdr:colOff>104095</xdr:colOff>
      <xdr:row>7</xdr:row>
      <xdr:rowOff>96836</xdr:rowOff>
    </xdr:from>
    <xdr:to>
      <xdr:col>38</xdr:col>
      <xdr:colOff>123439</xdr:colOff>
      <xdr:row>8</xdr:row>
      <xdr:rowOff>156367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B440955B-0D6F-4EC2-A15A-FDDE5C0741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0892408" y="1430336"/>
          <a:ext cx="2448219" cy="250031"/>
        </a:xfrm>
        <a:prstGeom prst="rect">
          <a:avLst/>
        </a:prstGeom>
      </xdr:spPr>
    </xdr:pic>
    <xdr:clientData/>
  </xdr:twoCellAnchor>
  <xdr:twoCellAnchor editAs="oneCell">
    <xdr:from>
      <xdr:col>45</xdr:col>
      <xdr:colOff>125526</xdr:colOff>
      <xdr:row>7</xdr:row>
      <xdr:rowOff>94454</xdr:rowOff>
    </xdr:from>
    <xdr:to>
      <xdr:col>49</xdr:col>
      <xdr:colOff>144870</xdr:colOff>
      <xdr:row>8</xdr:row>
      <xdr:rowOff>153985</xdr:rowOff>
    </xdr:to>
    <xdr:pic>
      <xdr:nvPicPr>
        <xdr:cNvPr id="151" name="Picture 150">
          <a:extLst>
            <a:ext uri="{FF2B5EF4-FFF2-40B4-BE49-F238E27FC236}">
              <a16:creationId xmlns:a16="http://schemas.microsoft.com/office/drawing/2014/main" id="{0ED6930B-454F-4302-A766-17B9FB171B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7593245" y="1427954"/>
          <a:ext cx="2448219" cy="250031"/>
        </a:xfrm>
        <a:prstGeom prst="rect">
          <a:avLst/>
        </a:prstGeom>
      </xdr:spPr>
    </xdr:pic>
    <xdr:clientData/>
  </xdr:twoCellAnchor>
  <xdr:twoCellAnchor editAs="oneCell">
    <xdr:from>
      <xdr:col>1</xdr:col>
      <xdr:colOff>1702</xdr:colOff>
      <xdr:row>10</xdr:row>
      <xdr:rowOff>77785</xdr:rowOff>
    </xdr:from>
    <xdr:to>
      <xdr:col>4</xdr:col>
      <xdr:colOff>413952</xdr:colOff>
      <xdr:row>11</xdr:row>
      <xdr:rowOff>137316</xdr:rowOff>
    </xdr:to>
    <xdr:pic>
      <xdr:nvPicPr>
        <xdr:cNvPr id="152" name="Picture 151">
          <a:extLst>
            <a:ext uri="{FF2B5EF4-FFF2-40B4-BE49-F238E27FC236}">
              <a16:creationId xmlns:a16="http://schemas.microsoft.com/office/drawing/2014/main" id="{4DD245BE-8BAF-4E3E-99C3-B5F8401D5A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08921" y="1982785"/>
          <a:ext cx="2448219" cy="250031"/>
        </a:xfrm>
        <a:prstGeom prst="rect">
          <a:avLst/>
        </a:prstGeom>
      </xdr:spPr>
    </xdr:pic>
    <xdr:clientData/>
  </xdr:twoCellAnchor>
  <xdr:twoCellAnchor editAs="oneCell">
    <xdr:from>
      <xdr:col>5</xdr:col>
      <xdr:colOff>273844</xdr:colOff>
      <xdr:row>10</xdr:row>
      <xdr:rowOff>119062</xdr:rowOff>
    </xdr:from>
    <xdr:to>
      <xdr:col>7</xdr:col>
      <xdr:colOff>526461</xdr:colOff>
      <xdr:row>11</xdr:row>
      <xdr:rowOff>100036</xdr:rowOff>
    </xdr:to>
    <xdr:pic>
      <xdr:nvPicPr>
        <xdr:cNvPr id="130" name="Picture 129">
          <a:extLst>
            <a:ext uri="{FF2B5EF4-FFF2-40B4-BE49-F238E27FC236}">
              <a16:creationId xmlns:a16="http://schemas.microsoft.com/office/drawing/2014/main" id="{AD404554-79D7-4E2B-B4E0-19D1CD2443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3524250" y="2024062"/>
          <a:ext cx="1467055" cy="171474"/>
        </a:xfrm>
        <a:prstGeom prst="rect">
          <a:avLst/>
        </a:prstGeom>
      </xdr:spPr>
    </xdr:pic>
    <xdr:clientData/>
  </xdr:twoCellAnchor>
  <xdr:twoCellAnchor editAs="oneCell">
    <xdr:from>
      <xdr:col>16</xdr:col>
      <xdr:colOff>597015</xdr:colOff>
      <xdr:row>7</xdr:row>
      <xdr:rowOff>113504</xdr:rowOff>
    </xdr:from>
    <xdr:to>
      <xdr:col>19</xdr:col>
      <xdr:colOff>242414</xdr:colOff>
      <xdr:row>8</xdr:row>
      <xdr:rowOff>94478</xdr:rowOff>
    </xdr:to>
    <xdr:pic>
      <xdr:nvPicPr>
        <xdr:cNvPr id="131" name="Picture 130">
          <a:extLst>
            <a:ext uri="{FF2B5EF4-FFF2-40B4-BE49-F238E27FC236}">
              <a16:creationId xmlns:a16="http://schemas.microsoft.com/office/drawing/2014/main" id="{23220632-F3EA-4C05-90DE-0A044413FB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0455390" y="1447004"/>
          <a:ext cx="1467055" cy="171474"/>
        </a:xfrm>
        <a:prstGeom prst="rect">
          <a:avLst/>
        </a:prstGeom>
      </xdr:spPr>
    </xdr:pic>
    <xdr:clientData/>
  </xdr:twoCellAnchor>
  <xdr:twoCellAnchor editAs="oneCell">
    <xdr:from>
      <xdr:col>27</xdr:col>
      <xdr:colOff>558915</xdr:colOff>
      <xdr:row>7</xdr:row>
      <xdr:rowOff>87311</xdr:rowOff>
    </xdr:from>
    <xdr:to>
      <xdr:col>30</xdr:col>
      <xdr:colOff>204313</xdr:colOff>
      <xdr:row>8</xdr:row>
      <xdr:rowOff>68285</xdr:rowOff>
    </xdr:to>
    <xdr:pic>
      <xdr:nvPicPr>
        <xdr:cNvPr id="132" name="Picture 131">
          <a:extLst>
            <a:ext uri="{FF2B5EF4-FFF2-40B4-BE49-F238E27FC236}">
              <a16:creationId xmlns:a16="http://schemas.microsoft.com/office/drawing/2014/main" id="{79B933A8-F6D3-4E9F-BE1B-FB5E5D2DFA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96696" y="1420811"/>
          <a:ext cx="1467055" cy="171474"/>
        </a:xfrm>
        <a:prstGeom prst="rect">
          <a:avLst/>
        </a:prstGeom>
      </xdr:spPr>
    </xdr:pic>
    <xdr:clientData/>
  </xdr:twoCellAnchor>
  <xdr:twoCellAnchor editAs="oneCell">
    <xdr:from>
      <xdr:col>38</xdr:col>
      <xdr:colOff>556532</xdr:colOff>
      <xdr:row>7</xdr:row>
      <xdr:rowOff>132555</xdr:rowOff>
    </xdr:from>
    <xdr:to>
      <xdr:col>41</xdr:col>
      <xdr:colOff>201931</xdr:colOff>
      <xdr:row>8</xdr:row>
      <xdr:rowOff>113529</xdr:rowOff>
    </xdr:to>
    <xdr:pic>
      <xdr:nvPicPr>
        <xdr:cNvPr id="133" name="Picture 132">
          <a:extLst>
            <a:ext uri="{FF2B5EF4-FFF2-40B4-BE49-F238E27FC236}">
              <a16:creationId xmlns:a16="http://schemas.microsoft.com/office/drawing/2014/main" id="{BB8939EF-CE69-43FE-B4BD-3F080E09B7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3773720" y="1466055"/>
          <a:ext cx="1467055" cy="171474"/>
        </a:xfrm>
        <a:prstGeom prst="rect">
          <a:avLst/>
        </a:prstGeom>
      </xdr:spPr>
    </xdr:pic>
    <xdr:clientData/>
  </xdr:twoCellAnchor>
  <xdr:twoCellAnchor editAs="oneCell">
    <xdr:from>
      <xdr:col>49</xdr:col>
      <xdr:colOff>577964</xdr:colOff>
      <xdr:row>7</xdr:row>
      <xdr:rowOff>130173</xdr:rowOff>
    </xdr:from>
    <xdr:to>
      <xdr:col>52</xdr:col>
      <xdr:colOff>223363</xdr:colOff>
      <xdr:row>8</xdr:row>
      <xdr:rowOff>111147</xdr:rowOff>
    </xdr:to>
    <xdr:pic>
      <xdr:nvPicPr>
        <xdr:cNvPr id="153" name="Picture 152">
          <a:extLst>
            <a:ext uri="{FF2B5EF4-FFF2-40B4-BE49-F238E27FC236}">
              <a16:creationId xmlns:a16="http://schemas.microsoft.com/office/drawing/2014/main" id="{D533DA88-3F6D-47BA-86C9-03730F60B5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30474558" y="1463673"/>
          <a:ext cx="1467055" cy="17147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69094</xdr:colOff>
      <xdr:row>26</xdr:row>
      <xdr:rowOff>85459</xdr:rowOff>
    </xdr:from>
    <xdr:to>
      <xdr:col>6</xdr:col>
      <xdr:colOff>604024</xdr:colOff>
      <xdr:row>28</xdr:row>
      <xdr:rowOff>184642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D7A32A7-52E0-4314-9CE1-6BA8849150C6}"/>
            </a:ext>
          </a:extLst>
        </xdr:cNvPr>
        <xdr:cNvSpPr/>
      </xdr:nvSpPr>
      <xdr:spPr>
        <a:xfrm>
          <a:off x="69094" y="5067034"/>
          <a:ext cx="4402080" cy="480183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69274</xdr:colOff>
      <xdr:row>20</xdr:row>
      <xdr:rowOff>136301</xdr:rowOff>
    </xdr:from>
    <xdr:to>
      <xdr:col>10</xdr:col>
      <xdr:colOff>458933</xdr:colOff>
      <xdr:row>21</xdr:row>
      <xdr:rowOff>198407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B99FAC92-ECA2-4379-9182-1CD985C6C4EF}"/>
            </a:ext>
          </a:extLst>
        </xdr:cNvPr>
        <xdr:cNvSpPr/>
      </xdr:nvSpPr>
      <xdr:spPr>
        <a:xfrm>
          <a:off x="69274" y="3955826"/>
          <a:ext cx="6619009" cy="252606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72259</xdr:colOff>
      <xdr:row>10</xdr:row>
      <xdr:rowOff>0</xdr:rowOff>
    </xdr:from>
    <xdr:to>
      <xdr:col>10</xdr:col>
      <xdr:colOff>450273</xdr:colOff>
      <xdr:row>16</xdr:row>
      <xdr:rowOff>6569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33107617-31DE-4DDE-A9AA-9C15D434C00C}"/>
            </a:ext>
          </a:extLst>
        </xdr:cNvPr>
        <xdr:cNvSpPr/>
      </xdr:nvSpPr>
      <xdr:spPr>
        <a:xfrm>
          <a:off x="72259" y="1905000"/>
          <a:ext cx="6607364" cy="115909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585108</xdr:colOff>
      <xdr:row>10</xdr:row>
      <xdr:rowOff>6348</xdr:rowOff>
    </xdr:from>
    <xdr:to>
      <xdr:col>9</xdr:col>
      <xdr:colOff>421822</xdr:colOff>
      <xdr:row>16</xdr:row>
      <xdr:rowOff>1208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E06BA92-021F-4A2A-A369-105D6839C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5108" y="1911348"/>
          <a:ext cx="5532664" cy="1147385"/>
        </a:xfrm>
        <a:prstGeom prst="rect">
          <a:avLst/>
        </a:prstGeom>
      </xdr:spPr>
    </xdr:pic>
    <xdr:clientData/>
  </xdr:twoCellAnchor>
  <xdr:twoCellAnchor editAs="absolute">
    <xdr:from>
      <xdr:col>0</xdr:col>
      <xdr:colOff>104536</xdr:colOff>
      <xdr:row>2</xdr:row>
      <xdr:rowOff>27032</xdr:rowOff>
    </xdr:from>
    <xdr:to>
      <xdr:col>3</xdr:col>
      <xdr:colOff>684949</xdr:colOff>
      <xdr:row>4</xdr:row>
      <xdr:rowOff>176394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E9DDCC8-309A-49AB-A31A-CE097FAB28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104536" y="408032"/>
          <a:ext cx="2494938" cy="530362"/>
        </a:xfrm>
        <a:prstGeom prst="rect">
          <a:avLst/>
        </a:prstGeom>
      </xdr:spPr>
    </xdr:pic>
    <xdr:clientData/>
  </xdr:twoCellAnchor>
  <xdr:twoCellAnchor editAs="oneCell">
    <xdr:from>
      <xdr:col>3</xdr:col>
      <xdr:colOff>14183</xdr:colOff>
      <xdr:row>17</xdr:row>
      <xdr:rowOff>19707</xdr:rowOff>
    </xdr:from>
    <xdr:to>
      <xdr:col>8</xdr:col>
      <xdr:colOff>340115</xdr:colOff>
      <xdr:row>17</xdr:row>
      <xdr:rowOff>176544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F8BD8BD9-AFE4-4DB2-9677-35D90FFFD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28708" y="3267732"/>
          <a:ext cx="3497757" cy="156837"/>
        </a:xfrm>
        <a:prstGeom prst="rect">
          <a:avLst/>
        </a:prstGeom>
      </xdr:spPr>
    </xdr:pic>
    <xdr:clientData/>
  </xdr:twoCellAnchor>
  <xdr:twoCellAnchor editAs="absolute">
    <xdr:from>
      <xdr:col>0</xdr:col>
      <xdr:colOff>79395</xdr:colOff>
      <xdr:row>20</xdr:row>
      <xdr:rowOff>113206</xdr:rowOff>
    </xdr:from>
    <xdr:to>
      <xdr:col>7</xdr:col>
      <xdr:colOff>1044</xdr:colOff>
      <xdr:row>28</xdr:row>
      <xdr:rowOff>96622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7C31FE35-453D-4C2D-B4F3-DBD56C948F2B}"/>
            </a:ext>
          </a:extLst>
        </xdr:cNvPr>
        <xdr:cNvSpPr/>
      </xdr:nvSpPr>
      <xdr:spPr>
        <a:xfrm>
          <a:off x="79395" y="3932731"/>
          <a:ext cx="4398399" cy="1526466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14287</xdr:colOff>
      <xdr:row>34</xdr:row>
      <xdr:rowOff>100011</xdr:rowOff>
    </xdr:from>
    <xdr:to>
      <xdr:col>5</xdr:col>
      <xdr:colOff>407194</xdr:colOff>
      <xdr:row>36</xdr:row>
      <xdr:rowOff>4761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E975EA18-C416-4303-8929-7273D687CC9D}"/>
            </a:ext>
          </a:extLst>
        </xdr:cNvPr>
        <xdr:cNvSpPr txBox="1"/>
      </xdr:nvSpPr>
      <xdr:spPr>
        <a:xfrm>
          <a:off x="623887" y="6605586"/>
          <a:ext cx="3040857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1</xdr:col>
      <xdr:colOff>4762</xdr:colOff>
      <xdr:row>41</xdr:row>
      <xdr:rowOff>109537</xdr:rowOff>
    </xdr:from>
    <xdr:to>
      <xdr:col>5</xdr:col>
      <xdr:colOff>397669</xdr:colOff>
      <xdr:row>43</xdr:row>
      <xdr:rowOff>14287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31B74D29-E17E-44F8-9FD9-3BD2E22E9B5A}"/>
            </a:ext>
          </a:extLst>
        </xdr:cNvPr>
        <xdr:cNvSpPr txBox="1"/>
      </xdr:nvSpPr>
      <xdr:spPr>
        <a:xfrm>
          <a:off x="614362" y="7948612"/>
          <a:ext cx="3040857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0</xdr:col>
      <xdr:colOff>638174</xdr:colOff>
      <xdr:row>48</xdr:row>
      <xdr:rowOff>42861</xdr:rowOff>
    </xdr:from>
    <xdr:to>
      <xdr:col>5</xdr:col>
      <xdr:colOff>388143</xdr:colOff>
      <xdr:row>49</xdr:row>
      <xdr:rowOff>138111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BB3583DC-7AF0-401C-850A-D99B45CA2EA4}"/>
            </a:ext>
          </a:extLst>
        </xdr:cNvPr>
        <xdr:cNvSpPr txBox="1"/>
      </xdr:nvSpPr>
      <xdr:spPr>
        <a:xfrm>
          <a:off x="609599" y="9215436"/>
          <a:ext cx="3036094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 editAs="absolute">
    <xdr:from>
      <xdr:col>0</xdr:col>
      <xdr:colOff>59531</xdr:colOff>
      <xdr:row>0</xdr:row>
      <xdr:rowOff>59533</xdr:rowOff>
    </xdr:from>
    <xdr:to>
      <xdr:col>10</xdr:col>
      <xdr:colOff>464343</xdr:colOff>
      <xdr:row>51</xdr:row>
      <xdr:rowOff>38101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8FF7B20A-24D9-4563-AD4E-F670C613DC8F}"/>
            </a:ext>
          </a:extLst>
        </xdr:cNvPr>
        <xdr:cNvSpPr/>
      </xdr:nvSpPr>
      <xdr:spPr>
        <a:xfrm>
          <a:off x="59531" y="59533"/>
          <a:ext cx="6634162" cy="9722643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80963</xdr:colOff>
      <xdr:row>0</xdr:row>
      <xdr:rowOff>71436</xdr:rowOff>
    </xdr:from>
    <xdr:to>
      <xdr:col>21</xdr:col>
      <xdr:colOff>511968</xdr:colOff>
      <xdr:row>51</xdr:row>
      <xdr:rowOff>28575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68CE2724-7103-43C8-8BDA-0A16ED564D53}"/>
            </a:ext>
          </a:extLst>
        </xdr:cNvPr>
        <xdr:cNvSpPr/>
      </xdr:nvSpPr>
      <xdr:spPr>
        <a:xfrm>
          <a:off x="69199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3</xdr:col>
      <xdr:colOff>16874</xdr:colOff>
      <xdr:row>7</xdr:row>
      <xdr:rowOff>118241</xdr:rowOff>
    </xdr:from>
    <xdr:to>
      <xdr:col>7</xdr:col>
      <xdr:colOff>505809</xdr:colOff>
      <xdr:row>8</xdr:row>
      <xdr:rowOff>96545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C787E0DD-21E3-4998-81B1-E81714CBF1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31399" y="1451741"/>
          <a:ext cx="3051160" cy="168804"/>
        </a:xfrm>
        <a:prstGeom prst="rect">
          <a:avLst/>
        </a:prstGeom>
      </xdr:spPr>
    </xdr:pic>
    <xdr:clientData/>
  </xdr:twoCellAnchor>
  <xdr:twoCellAnchor editAs="oneCell">
    <xdr:from>
      <xdr:col>1</xdr:col>
      <xdr:colOff>3734</xdr:colOff>
      <xdr:row>30</xdr:row>
      <xdr:rowOff>178594</xdr:rowOff>
    </xdr:from>
    <xdr:to>
      <xdr:col>9</xdr:col>
      <xdr:colOff>522992</xdr:colOff>
      <xdr:row>33</xdr:row>
      <xdr:rowOff>178594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4214DE6-ECF5-4FC2-93B1-6AF50BBED8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13334" y="5922169"/>
          <a:ext cx="5605608" cy="5715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635143</xdr:colOff>
      <xdr:row>37</xdr:row>
      <xdr:rowOff>130969</xdr:rowOff>
    </xdr:from>
    <xdr:to>
      <xdr:col>9</xdr:col>
      <xdr:colOff>476249</xdr:colOff>
      <xdr:row>40</xdr:row>
      <xdr:rowOff>104870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658E98FD-56D6-495B-AA94-84ACA96AD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6568" y="7208044"/>
          <a:ext cx="5565631" cy="545401"/>
        </a:xfrm>
        <a:prstGeom prst="rect">
          <a:avLst/>
        </a:prstGeom>
      </xdr:spPr>
    </xdr:pic>
    <xdr:clientData/>
  </xdr:twoCellAnchor>
  <xdr:twoCellAnchor editAs="oneCell">
    <xdr:from>
      <xdr:col>0</xdr:col>
      <xdr:colOff>611981</xdr:colOff>
      <xdr:row>44</xdr:row>
      <xdr:rowOff>102395</xdr:rowOff>
    </xdr:from>
    <xdr:to>
      <xdr:col>9</xdr:col>
      <xdr:colOff>416718</xdr:colOff>
      <xdr:row>47</xdr:row>
      <xdr:rowOff>82201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49E80564-2C0A-437F-B169-43EC97627B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11981" y="8512970"/>
          <a:ext cx="5500687" cy="551306"/>
        </a:xfrm>
        <a:prstGeom prst="rect">
          <a:avLst/>
        </a:prstGeom>
      </xdr:spPr>
    </xdr:pic>
    <xdr:clientData/>
  </xdr:twoCellAnchor>
  <xdr:twoCellAnchor editAs="oneCell">
    <xdr:from>
      <xdr:col>3</xdr:col>
      <xdr:colOff>492673</xdr:colOff>
      <xdr:row>20</xdr:row>
      <xdr:rowOff>159598</xdr:rowOff>
    </xdr:from>
    <xdr:to>
      <xdr:col>4</xdr:col>
      <xdr:colOff>533842</xdr:colOff>
      <xdr:row>21</xdr:row>
      <xdr:rowOff>131046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D69A1890-0842-4E9E-9885-158DABA547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407198" y="3979123"/>
          <a:ext cx="774594" cy="161948"/>
        </a:xfrm>
        <a:prstGeom prst="rect">
          <a:avLst/>
        </a:prstGeom>
      </xdr:spPr>
    </xdr:pic>
    <xdr:clientData/>
  </xdr:twoCellAnchor>
  <xdr:twoCellAnchor editAs="absolute">
    <xdr:from>
      <xdr:col>7</xdr:col>
      <xdr:colOff>85695</xdr:colOff>
      <xdr:row>21</xdr:row>
      <xdr:rowOff>2240</xdr:rowOff>
    </xdr:from>
    <xdr:to>
      <xdr:col>7</xdr:col>
      <xdr:colOff>495327</xdr:colOff>
      <xdr:row>21</xdr:row>
      <xdr:rowOff>145135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C59CF12B-F80B-4557-A69B-1B50CF33EE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562445" y="4012265"/>
          <a:ext cx="409632" cy="142895"/>
        </a:xfrm>
        <a:prstGeom prst="rect">
          <a:avLst/>
        </a:prstGeom>
      </xdr:spPr>
    </xdr:pic>
    <xdr:clientData/>
  </xdr:twoCellAnchor>
  <xdr:twoCellAnchor editAs="oneCell">
    <xdr:from>
      <xdr:col>8</xdr:col>
      <xdr:colOff>85695</xdr:colOff>
      <xdr:row>21</xdr:row>
      <xdr:rowOff>8808</xdr:rowOff>
    </xdr:from>
    <xdr:to>
      <xdr:col>8</xdr:col>
      <xdr:colOff>571538</xdr:colOff>
      <xdr:row>21</xdr:row>
      <xdr:rowOff>142177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1F72983D-CAF5-434F-B769-2E91A12E62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172045" y="4018833"/>
          <a:ext cx="485843" cy="133369"/>
        </a:xfrm>
        <a:prstGeom prst="rect">
          <a:avLst/>
        </a:prstGeom>
      </xdr:spPr>
    </xdr:pic>
    <xdr:clientData/>
  </xdr:twoCellAnchor>
  <xdr:twoCellAnchor editAs="oneCell">
    <xdr:from>
      <xdr:col>11</xdr:col>
      <xdr:colOff>122466</xdr:colOff>
      <xdr:row>2</xdr:row>
      <xdr:rowOff>9102</xdr:rowOff>
    </xdr:from>
    <xdr:to>
      <xdr:col>15</xdr:col>
      <xdr:colOff>184047</xdr:colOff>
      <xdr:row>4</xdr:row>
      <xdr:rowOff>158464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57A5DB56-3C4F-4BAB-A967-78A8A7E0A78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6961416" y="390102"/>
          <a:ext cx="2499981" cy="530362"/>
        </a:xfrm>
        <a:prstGeom prst="rect">
          <a:avLst/>
        </a:prstGeom>
      </xdr:spPr>
    </xdr:pic>
    <xdr:clientData/>
  </xdr:twoCellAnchor>
  <xdr:twoCellAnchor>
    <xdr:from>
      <xdr:col>11</xdr:col>
      <xdr:colOff>94383</xdr:colOff>
      <xdr:row>11</xdr:row>
      <xdr:rowOff>124067</xdr:rowOff>
    </xdr:from>
    <xdr:to>
      <xdr:col>21</xdr:col>
      <xdr:colOff>506557</xdr:colOff>
      <xdr:row>12</xdr:row>
      <xdr:rowOff>185307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2382B93-1C48-433D-A6BD-9DD42E881422}"/>
            </a:ext>
          </a:extLst>
        </xdr:cNvPr>
        <xdr:cNvGrpSpPr/>
      </xdr:nvGrpSpPr>
      <xdr:grpSpPr>
        <a:xfrm>
          <a:off x="6916664" y="2219567"/>
          <a:ext cx="6484362" cy="251740"/>
          <a:chOff x="7272759" y="2590175"/>
          <a:chExt cx="6772276" cy="251740"/>
        </a:xfrm>
      </xdr:grpSpPr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51857F6C-4CB0-4811-BA51-8AD14823BD2C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24" name="Picture 23">
            <a:extLst>
              <a:ext uri="{FF2B5EF4-FFF2-40B4-BE49-F238E27FC236}">
                <a16:creationId xmlns:a16="http://schemas.microsoft.com/office/drawing/2014/main" id="{5994B5BD-FE73-409F-9468-4AD9A03CDF4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25" name="Picture 24">
            <a:extLst>
              <a:ext uri="{FF2B5EF4-FFF2-40B4-BE49-F238E27FC236}">
                <a16:creationId xmlns:a16="http://schemas.microsoft.com/office/drawing/2014/main" id="{008F3988-9DB3-444B-8295-D8C8AFDABA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26" name="Picture 25">
            <a:extLst>
              <a:ext uri="{FF2B5EF4-FFF2-40B4-BE49-F238E27FC236}">
                <a16:creationId xmlns:a16="http://schemas.microsoft.com/office/drawing/2014/main" id="{A58879EA-BECB-4304-912D-06A883A071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27" name="Picture 26">
            <a:extLst>
              <a:ext uri="{FF2B5EF4-FFF2-40B4-BE49-F238E27FC236}">
                <a16:creationId xmlns:a16="http://schemas.microsoft.com/office/drawing/2014/main" id="{83A841A3-435F-4ECB-B5E9-F06577156E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92528</xdr:colOff>
      <xdr:row>12</xdr:row>
      <xdr:rowOff>161243</xdr:rowOff>
    </xdr:from>
    <xdr:to>
      <xdr:col>11</xdr:col>
      <xdr:colOff>625078</xdr:colOff>
      <xdr:row>51</xdr:row>
      <xdr:rowOff>23812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148DA3E8-34DC-4AFC-BFCA-559865A7F42F}"/>
            </a:ext>
          </a:extLst>
        </xdr:cNvPr>
        <xdr:cNvSpPr/>
      </xdr:nvSpPr>
      <xdr:spPr>
        <a:xfrm>
          <a:off x="69314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21</xdr:col>
      <xdr:colOff>6803</xdr:colOff>
      <xdr:row>12</xdr:row>
      <xdr:rowOff>158862</xdr:rowOff>
    </xdr:from>
    <xdr:to>
      <xdr:col>21</xdr:col>
      <xdr:colOff>506016</xdr:colOff>
      <xdr:row>51</xdr:row>
      <xdr:rowOff>17859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A607219D-893C-40D1-A666-8BB3B48774AE}"/>
            </a:ext>
          </a:extLst>
        </xdr:cNvPr>
        <xdr:cNvSpPr/>
      </xdr:nvSpPr>
      <xdr:spPr>
        <a:xfrm>
          <a:off x="129417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202410</xdr:colOff>
      <xdr:row>50</xdr:row>
      <xdr:rowOff>11906</xdr:rowOff>
    </xdr:from>
    <xdr:to>
      <xdr:col>21</xdr:col>
      <xdr:colOff>369094</xdr:colOff>
      <xdr:row>51</xdr:row>
      <xdr:rowOff>23812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189C810F-1A7B-477A-AFB7-C98F114538CB}"/>
            </a:ext>
          </a:extLst>
        </xdr:cNvPr>
        <xdr:cNvSpPr/>
      </xdr:nvSpPr>
      <xdr:spPr>
        <a:xfrm rot="16200000">
          <a:off x="100714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80963</xdr:colOff>
      <xdr:row>0</xdr:row>
      <xdr:rowOff>71436</xdr:rowOff>
    </xdr:from>
    <xdr:to>
      <xdr:col>32</xdr:col>
      <xdr:colOff>511968</xdr:colOff>
      <xdr:row>51</xdr:row>
      <xdr:rowOff>28575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CEF67FFB-83F3-447C-A2A3-22A66EC49A2B}"/>
            </a:ext>
          </a:extLst>
        </xdr:cNvPr>
        <xdr:cNvSpPr/>
      </xdr:nvSpPr>
      <xdr:spPr>
        <a:xfrm>
          <a:off x="136255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22</xdr:col>
      <xdr:colOff>111260</xdr:colOff>
      <xdr:row>2</xdr:row>
      <xdr:rowOff>20308</xdr:rowOff>
    </xdr:from>
    <xdr:ext cx="2614281" cy="530362"/>
    <xdr:pic>
      <xdr:nvPicPr>
        <xdr:cNvPr id="32" name="Picture 31">
          <a:extLst>
            <a:ext uri="{FF2B5EF4-FFF2-40B4-BE49-F238E27FC236}">
              <a16:creationId xmlns:a16="http://schemas.microsoft.com/office/drawing/2014/main" id="{F5F6678A-D7D6-496D-9663-6152AF320AC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13655810" y="401308"/>
          <a:ext cx="2614281" cy="530362"/>
        </a:xfrm>
        <a:prstGeom prst="rect">
          <a:avLst/>
        </a:prstGeom>
      </xdr:spPr>
    </xdr:pic>
    <xdr:clientData/>
  </xdr:oneCellAnchor>
  <xdr:twoCellAnchor>
    <xdr:from>
      <xdr:col>22</xdr:col>
      <xdr:colOff>94383</xdr:colOff>
      <xdr:row>11</xdr:row>
      <xdr:rowOff>124067</xdr:rowOff>
    </xdr:from>
    <xdr:to>
      <xdr:col>32</xdr:col>
      <xdr:colOff>506557</xdr:colOff>
      <xdr:row>12</xdr:row>
      <xdr:rowOff>185307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AE4FF820-104D-4F51-8236-6503679866C8}"/>
            </a:ext>
          </a:extLst>
        </xdr:cNvPr>
        <xdr:cNvGrpSpPr/>
      </xdr:nvGrpSpPr>
      <xdr:grpSpPr>
        <a:xfrm>
          <a:off x="13596071" y="2219567"/>
          <a:ext cx="6484361" cy="251740"/>
          <a:chOff x="7272759" y="2590175"/>
          <a:chExt cx="6772276" cy="251740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2E2433D-4D70-42B3-A03B-9DA65627D3D2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35" name="Picture 34">
            <a:extLst>
              <a:ext uri="{FF2B5EF4-FFF2-40B4-BE49-F238E27FC236}">
                <a16:creationId xmlns:a16="http://schemas.microsoft.com/office/drawing/2014/main" id="{0AF82AA3-9A67-4800-977B-32939B3953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36" name="Picture 35">
            <a:extLst>
              <a:ext uri="{FF2B5EF4-FFF2-40B4-BE49-F238E27FC236}">
                <a16:creationId xmlns:a16="http://schemas.microsoft.com/office/drawing/2014/main" id="{295B2475-F8B5-4DB7-89B9-33AA45C82D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37" name="Picture 36">
            <a:extLst>
              <a:ext uri="{FF2B5EF4-FFF2-40B4-BE49-F238E27FC236}">
                <a16:creationId xmlns:a16="http://schemas.microsoft.com/office/drawing/2014/main" id="{81AEC901-BA0E-44A0-9C6E-052069986E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38" name="Picture 37">
            <a:extLst>
              <a:ext uri="{FF2B5EF4-FFF2-40B4-BE49-F238E27FC236}">
                <a16:creationId xmlns:a16="http://schemas.microsoft.com/office/drawing/2014/main" id="{0B246173-BAB2-4D5F-A0EE-EB59D29BB1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92528</xdr:colOff>
      <xdr:row>12</xdr:row>
      <xdr:rowOff>161243</xdr:rowOff>
    </xdr:from>
    <xdr:to>
      <xdr:col>22</xdr:col>
      <xdr:colOff>625078</xdr:colOff>
      <xdr:row>51</xdr:row>
      <xdr:rowOff>23812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21CDFC84-BEEF-42A6-9FE9-2273703629F3}"/>
            </a:ext>
          </a:extLst>
        </xdr:cNvPr>
        <xdr:cNvSpPr/>
      </xdr:nvSpPr>
      <xdr:spPr>
        <a:xfrm>
          <a:off x="136370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32</xdr:col>
      <xdr:colOff>6803</xdr:colOff>
      <xdr:row>12</xdr:row>
      <xdr:rowOff>158862</xdr:rowOff>
    </xdr:from>
    <xdr:to>
      <xdr:col>32</xdr:col>
      <xdr:colOff>506016</xdr:colOff>
      <xdr:row>51</xdr:row>
      <xdr:rowOff>17859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1F8E4BEF-4879-4F4E-92C5-D01373DB02C1}"/>
            </a:ext>
          </a:extLst>
        </xdr:cNvPr>
        <xdr:cNvSpPr/>
      </xdr:nvSpPr>
      <xdr:spPr>
        <a:xfrm>
          <a:off x="196473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202410</xdr:colOff>
      <xdr:row>50</xdr:row>
      <xdr:rowOff>11906</xdr:rowOff>
    </xdr:from>
    <xdr:to>
      <xdr:col>32</xdr:col>
      <xdr:colOff>369094</xdr:colOff>
      <xdr:row>51</xdr:row>
      <xdr:rowOff>23812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89009933-95DA-48CE-BBDA-502D6D6C98CF}"/>
            </a:ext>
          </a:extLst>
        </xdr:cNvPr>
        <xdr:cNvSpPr/>
      </xdr:nvSpPr>
      <xdr:spPr>
        <a:xfrm rot="16200000">
          <a:off x="167770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80963</xdr:colOff>
      <xdr:row>0</xdr:row>
      <xdr:rowOff>71436</xdr:rowOff>
    </xdr:from>
    <xdr:to>
      <xdr:col>43</xdr:col>
      <xdr:colOff>511968</xdr:colOff>
      <xdr:row>51</xdr:row>
      <xdr:rowOff>28575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6322D736-CA77-459E-A27A-8235446D2746}"/>
            </a:ext>
          </a:extLst>
        </xdr:cNvPr>
        <xdr:cNvSpPr/>
      </xdr:nvSpPr>
      <xdr:spPr>
        <a:xfrm>
          <a:off x="203311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33</xdr:col>
      <xdr:colOff>111260</xdr:colOff>
      <xdr:row>2</xdr:row>
      <xdr:rowOff>9102</xdr:rowOff>
    </xdr:from>
    <xdr:ext cx="2614281" cy="530362"/>
    <xdr:pic>
      <xdr:nvPicPr>
        <xdr:cNvPr id="43" name="Picture 42">
          <a:extLst>
            <a:ext uri="{FF2B5EF4-FFF2-40B4-BE49-F238E27FC236}">
              <a16:creationId xmlns:a16="http://schemas.microsoft.com/office/drawing/2014/main" id="{1B65C5DF-43E8-4442-9B89-78D0D7461DD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0361410" y="390102"/>
          <a:ext cx="2614281" cy="530362"/>
        </a:xfrm>
        <a:prstGeom prst="rect">
          <a:avLst/>
        </a:prstGeom>
      </xdr:spPr>
    </xdr:pic>
    <xdr:clientData/>
  </xdr:oneCellAnchor>
  <xdr:twoCellAnchor>
    <xdr:from>
      <xdr:col>33</xdr:col>
      <xdr:colOff>94383</xdr:colOff>
      <xdr:row>11</xdr:row>
      <xdr:rowOff>124067</xdr:rowOff>
    </xdr:from>
    <xdr:to>
      <xdr:col>43</xdr:col>
      <xdr:colOff>506557</xdr:colOff>
      <xdr:row>12</xdr:row>
      <xdr:rowOff>185307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3BB0B6DE-6DD7-4BF4-B68A-D09EF014BCF9}"/>
            </a:ext>
          </a:extLst>
        </xdr:cNvPr>
        <xdr:cNvGrpSpPr/>
      </xdr:nvGrpSpPr>
      <xdr:grpSpPr>
        <a:xfrm>
          <a:off x="20275477" y="2219567"/>
          <a:ext cx="6484361" cy="251740"/>
          <a:chOff x="7272759" y="2590175"/>
          <a:chExt cx="6772276" cy="251740"/>
        </a:xfrm>
      </xdr:grpSpPr>
      <xdr:sp macro="" textlink="">
        <xdr:nvSpPr>
          <xdr:cNvPr id="45" name="Rectangle 44">
            <a:extLst>
              <a:ext uri="{FF2B5EF4-FFF2-40B4-BE49-F238E27FC236}">
                <a16:creationId xmlns:a16="http://schemas.microsoft.com/office/drawing/2014/main" id="{BFF1D2D6-98B8-46AA-9524-D0BE273AACE3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6" name="Picture 45">
            <a:extLst>
              <a:ext uri="{FF2B5EF4-FFF2-40B4-BE49-F238E27FC236}">
                <a16:creationId xmlns:a16="http://schemas.microsoft.com/office/drawing/2014/main" id="{1F7E7A5E-7C00-4150-BFE7-BF87068DE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47" name="Picture 46">
            <a:extLst>
              <a:ext uri="{FF2B5EF4-FFF2-40B4-BE49-F238E27FC236}">
                <a16:creationId xmlns:a16="http://schemas.microsoft.com/office/drawing/2014/main" id="{8619C02D-44E8-4BD0-8393-814D8E8A05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48" name="Picture 47">
            <a:extLst>
              <a:ext uri="{FF2B5EF4-FFF2-40B4-BE49-F238E27FC236}">
                <a16:creationId xmlns:a16="http://schemas.microsoft.com/office/drawing/2014/main" id="{82F71DA1-4DC6-46B3-A261-E11F2F07F45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49" name="Picture 48">
            <a:extLst>
              <a:ext uri="{FF2B5EF4-FFF2-40B4-BE49-F238E27FC236}">
                <a16:creationId xmlns:a16="http://schemas.microsoft.com/office/drawing/2014/main" id="{73E5F300-6C0B-4043-9FB1-8338F05820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92528</xdr:colOff>
      <xdr:row>12</xdr:row>
      <xdr:rowOff>161243</xdr:rowOff>
    </xdr:from>
    <xdr:to>
      <xdr:col>33</xdr:col>
      <xdr:colOff>625078</xdr:colOff>
      <xdr:row>51</xdr:row>
      <xdr:rowOff>23812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2C2E600D-0427-4C9B-8284-6248A2A3FB00}"/>
            </a:ext>
          </a:extLst>
        </xdr:cNvPr>
        <xdr:cNvSpPr/>
      </xdr:nvSpPr>
      <xdr:spPr>
        <a:xfrm>
          <a:off x="203426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43</xdr:col>
      <xdr:colOff>6803</xdr:colOff>
      <xdr:row>12</xdr:row>
      <xdr:rowOff>158862</xdr:rowOff>
    </xdr:from>
    <xdr:to>
      <xdr:col>43</xdr:col>
      <xdr:colOff>506016</xdr:colOff>
      <xdr:row>51</xdr:row>
      <xdr:rowOff>17859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9262005E-DE1E-4DD1-98A6-5A6FF8190D3B}"/>
            </a:ext>
          </a:extLst>
        </xdr:cNvPr>
        <xdr:cNvSpPr/>
      </xdr:nvSpPr>
      <xdr:spPr>
        <a:xfrm>
          <a:off x="263529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202410</xdr:colOff>
      <xdr:row>50</xdr:row>
      <xdr:rowOff>11906</xdr:rowOff>
    </xdr:from>
    <xdr:to>
      <xdr:col>43</xdr:col>
      <xdr:colOff>369094</xdr:colOff>
      <xdr:row>51</xdr:row>
      <xdr:rowOff>23812</xdr:rowOff>
    </xdr:to>
    <xdr:sp macro="" textlink="">
      <xdr:nvSpPr>
        <xdr:cNvPr id="52" name="Rectangle 51">
          <a:extLst>
            <a:ext uri="{FF2B5EF4-FFF2-40B4-BE49-F238E27FC236}">
              <a16:creationId xmlns:a16="http://schemas.microsoft.com/office/drawing/2014/main" id="{B99FAA70-518D-4459-9266-90E9C533DEC2}"/>
            </a:ext>
          </a:extLst>
        </xdr:cNvPr>
        <xdr:cNvSpPr/>
      </xdr:nvSpPr>
      <xdr:spPr>
        <a:xfrm rot="16200000">
          <a:off x="234826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80963</xdr:colOff>
      <xdr:row>0</xdr:row>
      <xdr:rowOff>71436</xdr:rowOff>
    </xdr:from>
    <xdr:to>
      <xdr:col>32</xdr:col>
      <xdr:colOff>511968</xdr:colOff>
      <xdr:row>51</xdr:row>
      <xdr:rowOff>28575</xdr:rowOff>
    </xdr:to>
    <xdr:sp macro="" textlink="">
      <xdr:nvSpPr>
        <xdr:cNvPr id="53" name="Rectangle 52">
          <a:extLst>
            <a:ext uri="{FF2B5EF4-FFF2-40B4-BE49-F238E27FC236}">
              <a16:creationId xmlns:a16="http://schemas.microsoft.com/office/drawing/2014/main" id="{E7B99E15-1D24-4597-9954-064C432E6F94}"/>
            </a:ext>
          </a:extLst>
        </xdr:cNvPr>
        <xdr:cNvSpPr/>
      </xdr:nvSpPr>
      <xdr:spPr>
        <a:xfrm>
          <a:off x="136255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22</xdr:col>
      <xdr:colOff>144877</xdr:colOff>
      <xdr:row>2</xdr:row>
      <xdr:rowOff>20308</xdr:rowOff>
    </xdr:from>
    <xdr:ext cx="2616522" cy="530362"/>
    <xdr:pic>
      <xdr:nvPicPr>
        <xdr:cNvPr id="54" name="Picture 53">
          <a:extLst>
            <a:ext uri="{FF2B5EF4-FFF2-40B4-BE49-F238E27FC236}">
              <a16:creationId xmlns:a16="http://schemas.microsoft.com/office/drawing/2014/main" id="{180D7087-2C92-4014-A899-4B4C566B64C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13689427" y="401308"/>
          <a:ext cx="2616522" cy="530362"/>
        </a:xfrm>
        <a:prstGeom prst="rect">
          <a:avLst/>
        </a:prstGeom>
      </xdr:spPr>
    </xdr:pic>
    <xdr:clientData/>
  </xdr:oneCellAnchor>
  <xdr:twoCellAnchor>
    <xdr:from>
      <xdr:col>22</xdr:col>
      <xdr:colOff>94383</xdr:colOff>
      <xdr:row>11</xdr:row>
      <xdr:rowOff>124067</xdr:rowOff>
    </xdr:from>
    <xdr:to>
      <xdr:col>32</xdr:col>
      <xdr:colOff>506557</xdr:colOff>
      <xdr:row>12</xdr:row>
      <xdr:rowOff>185307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0CAF93B9-C1BA-4B6F-9E79-0D1B48D6D947}"/>
            </a:ext>
          </a:extLst>
        </xdr:cNvPr>
        <xdr:cNvGrpSpPr/>
      </xdr:nvGrpSpPr>
      <xdr:grpSpPr>
        <a:xfrm>
          <a:off x="13596071" y="2219567"/>
          <a:ext cx="6484361" cy="251740"/>
          <a:chOff x="7272759" y="2590175"/>
          <a:chExt cx="6772276" cy="251740"/>
        </a:xfrm>
      </xdr:grpSpPr>
      <xdr:sp macro="" textlink="">
        <xdr:nvSpPr>
          <xdr:cNvPr id="56" name="Rectangle 55">
            <a:extLst>
              <a:ext uri="{FF2B5EF4-FFF2-40B4-BE49-F238E27FC236}">
                <a16:creationId xmlns:a16="http://schemas.microsoft.com/office/drawing/2014/main" id="{74E208BF-3511-416F-8FEB-B05C1D96AD26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7" name="Picture 56">
            <a:extLst>
              <a:ext uri="{FF2B5EF4-FFF2-40B4-BE49-F238E27FC236}">
                <a16:creationId xmlns:a16="http://schemas.microsoft.com/office/drawing/2014/main" id="{A009DF2B-2162-45F7-82F9-A19AA39B8D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58" name="Picture 57">
            <a:extLst>
              <a:ext uri="{FF2B5EF4-FFF2-40B4-BE49-F238E27FC236}">
                <a16:creationId xmlns:a16="http://schemas.microsoft.com/office/drawing/2014/main" id="{AD8B0A4E-86B2-4610-8856-B32160BB90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59" name="Picture 58">
            <a:extLst>
              <a:ext uri="{FF2B5EF4-FFF2-40B4-BE49-F238E27FC236}">
                <a16:creationId xmlns:a16="http://schemas.microsoft.com/office/drawing/2014/main" id="{F86E848F-BE6A-4610-964D-4FB127D2AD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60" name="Picture 59">
            <a:extLst>
              <a:ext uri="{FF2B5EF4-FFF2-40B4-BE49-F238E27FC236}">
                <a16:creationId xmlns:a16="http://schemas.microsoft.com/office/drawing/2014/main" id="{26CE3FD9-BD0D-4236-AD28-C7779921C8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92528</xdr:colOff>
      <xdr:row>12</xdr:row>
      <xdr:rowOff>161243</xdr:rowOff>
    </xdr:from>
    <xdr:to>
      <xdr:col>22</xdr:col>
      <xdr:colOff>625078</xdr:colOff>
      <xdr:row>51</xdr:row>
      <xdr:rowOff>23812</xdr:rowOff>
    </xdr:to>
    <xdr:sp macro="" textlink="">
      <xdr:nvSpPr>
        <xdr:cNvPr id="61" name="Rectangle 60">
          <a:extLst>
            <a:ext uri="{FF2B5EF4-FFF2-40B4-BE49-F238E27FC236}">
              <a16:creationId xmlns:a16="http://schemas.microsoft.com/office/drawing/2014/main" id="{727F2BCB-B41C-44D3-8CDA-4D3165EC7A40}"/>
            </a:ext>
          </a:extLst>
        </xdr:cNvPr>
        <xdr:cNvSpPr/>
      </xdr:nvSpPr>
      <xdr:spPr>
        <a:xfrm>
          <a:off x="136370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32</xdr:col>
      <xdr:colOff>6803</xdr:colOff>
      <xdr:row>12</xdr:row>
      <xdr:rowOff>158862</xdr:rowOff>
    </xdr:from>
    <xdr:to>
      <xdr:col>32</xdr:col>
      <xdr:colOff>506016</xdr:colOff>
      <xdr:row>51</xdr:row>
      <xdr:rowOff>17859</xdr:rowOff>
    </xdr:to>
    <xdr:sp macro="" textlink="">
      <xdr:nvSpPr>
        <xdr:cNvPr id="62" name="Rectangle 61">
          <a:extLst>
            <a:ext uri="{FF2B5EF4-FFF2-40B4-BE49-F238E27FC236}">
              <a16:creationId xmlns:a16="http://schemas.microsoft.com/office/drawing/2014/main" id="{64A442E2-6B5A-4DC1-9B13-A7E73AEDFA41}"/>
            </a:ext>
          </a:extLst>
        </xdr:cNvPr>
        <xdr:cNvSpPr/>
      </xdr:nvSpPr>
      <xdr:spPr>
        <a:xfrm>
          <a:off x="196473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202410</xdr:colOff>
      <xdr:row>50</xdr:row>
      <xdr:rowOff>11906</xdr:rowOff>
    </xdr:from>
    <xdr:to>
      <xdr:col>32</xdr:col>
      <xdr:colOff>369094</xdr:colOff>
      <xdr:row>51</xdr:row>
      <xdr:rowOff>23812</xdr:rowOff>
    </xdr:to>
    <xdr:sp macro="" textlink="">
      <xdr:nvSpPr>
        <xdr:cNvPr id="63" name="Rectangle 62">
          <a:extLst>
            <a:ext uri="{FF2B5EF4-FFF2-40B4-BE49-F238E27FC236}">
              <a16:creationId xmlns:a16="http://schemas.microsoft.com/office/drawing/2014/main" id="{E4F9862C-F4BC-4DA4-B13E-F95FE2379A05}"/>
            </a:ext>
          </a:extLst>
        </xdr:cNvPr>
        <xdr:cNvSpPr/>
      </xdr:nvSpPr>
      <xdr:spPr>
        <a:xfrm rot="16200000">
          <a:off x="167770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80963</xdr:colOff>
      <xdr:row>0</xdr:row>
      <xdr:rowOff>71436</xdr:rowOff>
    </xdr:from>
    <xdr:to>
      <xdr:col>43</xdr:col>
      <xdr:colOff>511968</xdr:colOff>
      <xdr:row>51</xdr:row>
      <xdr:rowOff>28575</xdr:rowOff>
    </xdr:to>
    <xdr:sp macro="" textlink="">
      <xdr:nvSpPr>
        <xdr:cNvPr id="64" name="Rectangle 63">
          <a:extLst>
            <a:ext uri="{FF2B5EF4-FFF2-40B4-BE49-F238E27FC236}">
              <a16:creationId xmlns:a16="http://schemas.microsoft.com/office/drawing/2014/main" id="{73FB2EA3-2814-41F8-AAEE-E5436E6D0600}"/>
            </a:ext>
          </a:extLst>
        </xdr:cNvPr>
        <xdr:cNvSpPr/>
      </xdr:nvSpPr>
      <xdr:spPr>
        <a:xfrm>
          <a:off x="203311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94383</xdr:colOff>
      <xdr:row>11</xdr:row>
      <xdr:rowOff>124067</xdr:rowOff>
    </xdr:from>
    <xdr:to>
      <xdr:col>43</xdr:col>
      <xdr:colOff>506557</xdr:colOff>
      <xdr:row>12</xdr:row>
      <xdr:rowOff>185307</xdr:rowOff>
    </xdr:to>
    <xdr:grpSp>
      <xdr:nvGrpSpPr>
        <xdr:cNvPr id="65" name="Group 64">
          <a:extLst>
            <a:ext uri="{FF2B5EF4-FFF2-40B4-BE49-F238E27FC236}">
              <a16:creationId xmlns:a16="http://schemas.microsoft.com/office/drawing/2014/main" id="{284AE813-B0E4-4E7D-A8DF-B0D29EEEFE0D}"/>
            </a:ext>
          </a:extLst>
        </xdr:cNvPr>
        <xdr:cNvGrpSpPr/>
      </xdr:nvGrpSpPr>
      <xdr:grpSpPr>
        <a:xfrm>
          <a:off x="20275477" y="2219567"/>
          <a:ext cx="6484361" cy="251740"/>
          <a:chOff x="7272759" y="2590175"/>
          <a:chExt cx="6772276" cy="251740"/>
        </a:xfrm>
      </xdr:grpSpPr>
      <xdr:sp macro="" textlink="">
        <xdr:nvSpPr>
          <xdr:cNvPr id="66" name="Rectangle 65">
            <a:extLst>
              <a:ext uri="{FF2B5EF4-FFF2-40B4-BE49-F238E27FC236}">
                <a16:creationId xmlns:a16="http://schemas.microsoft.com/office/drawing/2014/main" id="{911395CE-67AE-4C45-985C-097E863FD340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67" name="Picture 66">
            <a:extLst>
              <a:ext uri="{FF2B5EF4-FFF2-40B4-BE49-F238E27FC236}">
                <a16:creationId xmlns:a16="http://schemas.microsoft.com/office/drawing/2014/main" id="{8315D204-F4A7-4A8F-ACEF-F058C70316B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68" name="Picture 67">
            <a:extLst>
              <a:ext uri="{FF2B5EF4-FFF2-40B4-BE49-F238E27FC236}">
                <a16:creationId xmlns:a16="http://schemas.microsoft.com/office/drawing/2014/main" id="{E8C7C5E8-F2A9-4A0D-BA6F-133A5A23A4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69" name="Picture 68">
            <a:extLst>
              <a:ext uri="{FF2B5EF4-FFF2-40B4-BE49-F238E27FC236}">
                <a16:creationId xmlns:a16="http://schemas.microsoft.com/office/drawing/2014/main" id="{697FB7AD-5975-4ACA-84B9-EE002B3C13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70" name="Picture 69">
            <a:extLst>
              <a:ext uri="{FF2B5EF4-FFF2-40B4-BE49-F238E27FC236}">
                <a16:creationId xmlns:a16="http://schemas.microsoft.com/office/drawing/2014/main" id="{FBBD741E-9662-49ED-9DCD-59D34606A30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92528</xdr:colOff>
      <xdr:row>12</xdr:row>
      <xdr:rowOff>161243</xdr:rowOff>
    </xdr:from>
    <xdr:to>
      <xdr:col>33</xdr:col>
      <xdr:colOff>625078</xdr:colOff>
      <xdr:row>51</xdr:row>
      <xdr:rowOff>23812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D0161837-DDD1-4095-A45C-B59DE14A518B}"/>
            </a:ext>
          </a:extLst>
        </xdr:cNvPr>
        <xdr:cNvSpPr/>
      </xdr:nvSpPr>
      <xdr:spPr>
        <a:xfrm>
          <a:off x="203426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43</xdr:col>
      <xdr:colOff>6803</xdr:colOff>
      <xdr:row>12</xdr:row>
      <xdr:rowOff>158862</xdr:rowOff>
    </xdr:from>
    <xdr:to>
      <xdr:col>43</xdr:col>
      <xdr:colOff>506016</xdr:colOff>
      <xdr:row>51</xdr:row>
      <xdr:rowOff>17859</xdr:rowOff>
    </xdr:to>
    <xdr:sp macro="" textlink="">
      <xdr:nvSpPr>
        <xdr:cNvPr id="72" name="Rectangle 71">
          <a:extLst>
            <a:ext uri="{FF2B5EF4-FFF2-40B4-BE49-F238E27FC236}">
              <a16:creationId xmlns:a16="http://schemas.microsoft.com/office/drawing/2014/main" id="{0D225CE8-3EBD-4184-A620-172100CC8DF7}"/>
            </a:ext>
          </a:extLst>
        </xdr:cNvPr>
        <xdr:cNvSpPr/>
      </xdr:nvSpPr>
      <xdr:spPr>
        <a:xfrm>
          <a:off x="263529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202410</xdr:colOff>
      <xdr:row>50</xdr:row>
      <xdr:rowOff>11906</xdr:rowOff>
    </xdr:from>
    <xdr:to>
      <xdr:col>43</xdr:col>
      <xdr:colOff>369094</xdr:colOff>
      <xdr:row>51</xdr:row>
      <xdr:rowOff>23812</xdr:rowOff>
    </xdr:to>
    <xdr:sp macro="" textlink="">
      <xdr:nvSpPr>
        <xdr:cNvPr id="73" name="Rectangle 72">
          <a:extLst>
            <a:ext uri="{FF2B5EF4-FFF2-40B4-BE49-F238E27FC236}">
              <a16:creationId xmlns:a16="http://schemas.microsoft.com/office/drawing/2014/main" id="{4DE6D74F-3744-4ED8-BAFA-C7BC9A53DECF}"/>
            </a:ext>
          </a:extLst>
        </xdr:cNvPr>
        <xdr:cNvSpPr/>
      </xdr:nvSpPr>
      <xdr:spPr>
        <a:xfrm rot="16200000">
          <a:off x="234826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80963</xdr:colOff>
      <xdr:row>0</xdr:row>
      <xdr:rowOff>71436</xdr:rowOff>
    </xdr:from>
    <xdr:to>
      <xdr:col>54</xdr:col>
      <xdr:colOff>511968</xdr:colOff>
      <xdr:row>51</xdr:row>
      <xdr:rowOff>28575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D13B6AE-5CBE-4975-8620-68745C3EB117}"/>
            </a:ext>
          </a:extLst>
        </xdr:cNvPr>
        <xdr:cNvSpPr/>
      </xdr:nvSpPr>
      <xdr:spPr>
        <a:xfrm>
          <a:off x="270367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44</xdr:col>
      <xdr:colOff>111260</xdr:colOff>
      <xdr:row>2</xdr:row>
      <xdr:rowOff>20308</xdr:rowOff>
    </xdr:from>
    <xdr:ext cx="2614281" cy="530362"/>
    <xdr:pic>
      <xdr:nvPicPr>
        <xdr:cNvPr id="75" name="Picture 74">
          <a:extLst>
            <a:ext uri="{FF2B5EF4-FFF2-40B4-BE49-F238E27FC236}">
              <a16:creationId xmlns:a16="http://schemas.microsoft.com/office/drawing/2014/main" id="{19EAD7D0-006F-4BB4-AE21-42B332CDC0B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7067010" y="401308"/>
          <a:ext cx="2614281" cy="530362"/>
        </a:xfrm>
        <a:prstGeom prst="rect">
          <a:avLst/>
        </a:prstGeom>
      </xdr:spPr>
    </xdr:pic>
    <xdr:clientData/>
  </xdr:oneCellAnchor>
  <xdr:twoCellAnchor>
    <xdr:from>
      <xdr:col>44</xdr:col>
      <xdr:colOff>94383</xdr:colOff>
      <xdr:row>11</xdr:row>
      <xdr:rowOff>124067</xdr:rowOff>
    </xdr:from>
    <xdr:to>
      <xdr:col>54</xdr:col>
      <xdr:colOff>506557</xdr:colOff>
      <xdr:row>12</xdr:row>
      <xdr:rowOff>185307</xdr:rowOff>
    </xdr:to>
    <xdr:grpSp>
      <xdr:nvGrpSpPr>
        <xdr:cNvPr id="76" name="Group 75">
          <a:extLst>
            <a:ext uri="{FF2B5EF4-FFF2-40B4-BE49-F238E27FC236}">
              <a16:creationId xmlns:a16="http://schemas.microsoft.com/office/drawing/2014/main" id="{27D9EC2A-B6E1-4F2B-BC25-4BB53AB43540}"/>
            </a:ext>
          </a:extLst>
        </xdr:cNvPr>
        <xdr:cNvGrpSpPr/>
      </xdr:nvGrpSpPr>
      <xdr:grpSpPr>
        <a:xfrm>
          <a:off x="26954883" y="2219567"/>
          <a:ext cx="6484362" cy="251740"/>
          <a:chOff x="7272759" y="2590175"/>
          <a:chExt cx="6772276" cy="251740"/>
        </a:xfrm>
      </xdr:grpSpPr>
      <xdr:sp macro="" textlink="">
        <xdr:nvSpPr>
          <xdr:cNvPr id="77" name="Rectangle 76">
            <a:extLst>
              <a:ext uri="{FF2B5EF4-FFF2-40B4-BE49-F238E27FC236}">
                <a16:creationId xmlns:a16="http://schemas.microsoft.com/office/drawing/2014/main" id="{CE8C0335-2BC3-480E-9C86-12D332173354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78" name="Picture 77">
            <a:extLst>
              <a:ext uri="{FF2B5EF4-FFF2-40B4-BE49-F238E27FC236}">
                <a16:creationId xmlns:a16="http://schemas.microsoft.com/office/drawing/2014/main" id="{B6DF0A37-F5D6-4695-8D4E-38A2B4DA51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79" name="Picture 78">
            <a:extLst>
              <a:ext uri="{FF2B5EF4-FFF2-40B4-BE49-F238E27FC236}">
                <a16:creationId xmlns:a16="http://schemas.microsoft.com/office/drawing/2014/main" id="{1154F61E-1CF9-4A91-8627-51814CFD19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80" name="Picture 79">
            <a:extLst>
              <a:ext uri="{FF2B5EF4-FFF2-40B4-BE49-F238E27FC236}">
                <a16:creationId xmlns:a16="http://schemas.microsoft.com/office/drawing/2014/main" id="{C88A8DAA-9C37-40D0-B6F0-8CE38BB34B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81" name="Picture 80">
            <a:extLst>
              <a:ext uri="{FF2B5EF4-FFF2-40B4-BE49-F238E27FC236}">
                <a16:creationId xmlns:a16="http://schemas.microsoft.com/office/drawing/2014/main" id="{7B54081F-A6D8-42D9-B20D-271819998E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44</xdr:col>
      <xdr:colOff>92528</xdr:colOff>
      <xdr:row>12</xdr:row>
      <xdr:rowOff>161243</xdr:rowOff>
    </xdr:from>
    <xdr:to>
      <xdr:col>44</xdr:col>
      <xdr:colOff>625078</xdr:colOff>
      <xdr:row>51</xdr:row>
      <xdr:rowOff>23812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61385F91-3762-4F90-9525-674C11BA0479}"/>
            </a:ext>
          </a:extLst>
        </xdr:cNvPr>
        <xdr:cNvSpPr/>
      </xdr:nvSpPr>
      <xdr:spPr>
        <a:xfrm>
          <a:off x="270482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54</xdr:col>
      <xdr:colOff>6803</xdr:colOff>
      <xdr:row>12</xdr:row>
      <xdr:rowOff>158862</xdr:rowOff>
    </xdr:from>
    <xdr:to>
      <xdr:col>54</xdr:col>
      <xdr:colOff>506016</xdr:colOff>
      <xdr:row>51</xdr:row>
      <xdr:rowOff>17859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EE30DF4B-6881-43C8-B12B-B4FDA18847B4}"/>
            </a:ext>
          </a:extLst>
        </xdr:cNvPr>
        <xdr:cNvSpPr/>
      </xdr:nvSpPr>
      <xdr:spPr>
        <a:xfrm>
          <a:off x="330585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202410</xdr:colOff>
      <xdr:row>50</xdr:row>
      <xdr:rowOff>11906</xdr:rowOff>
    </xdr:from>
    <xdr:to>
      <xdr:col>54</xdr:col>
      <xdr:colOff>369094</xdr:colOff>
      <xdr:row>51</xdr:row>
      <xdr:rowOff>23812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E21FA8E2-E1A7-40EB-90A6-A572CBD80AE9}"/>
            </a:ext>
          </a:extLst>
        </xdr:cNvPr>
        <xdr:cNvSpPr/>
      </xdr:nvSpPr>
      <xdr:spPr>
        <a:xfrm rot="16200000">
          <a:off x="301882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80963</xdr:colOff>
      <xdr:row>0</xdr:row>
      <xdr:rowOff>71436</xdr:rowOff>
    </xdr:from>
    <xdr:to>
      <xdr:col>54</xdr:col>
      <xdr:colOff>511968</xdr:colOff>
      <xdr:row>51</xdr:row>
      <xdr:rowOff>28575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E32348F7-C99C-4C9F-8E59-CAA58C49DA81}"/>
            </a:ext>
          </a:extLst>
        </xdr:cNvPr>
        <xdr:cNvSpPr/>
      </xdr:nvSpPr>
      <xdr:spPr>
        <a:xfrm>
          <a:off x="270367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44</xdr:col>
      <xdr:colOff>111260</xdr:colOff>
      <xdr:row>2</xdr:row>
      <xdr:rowOff>20308</xdr:rowOff>
    </xdr:from>
    <xdr:ext cx="2616522" cy="530362"/>
    <xdr:pic>
      <xdr:nvPicPr>
        <xdr:cNvPr id="86" name="Picture 85">
          <a:extLst>
            <a:ext uri="{FF2B5EF4-FFF2-40B4-BE49-F238E27FC236}">
              <a16:creationId xmlns:a16="http://schemas.microsoft.com/office/drawing/2014/main" id="{59689A59-D322-4FCC-9ADE-6CA1B57A3C5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7067010" y="401308"/>
          <a:ext cx="2616522" cy="530362"/>
        </a:xfrm>
        <a:prstGeom prst="rect">
          <a:avLst/>
        </a:prstGeom>
      </xdr:spPr>
    </xdr:pic>
    <xdr:clientData/>
  </xdr:oneCellAnchor>
  <xdr:twoCellAnchor>
    <xdr:from>
      <xdr:col>44</xdr:col>
      <xdr:colOff>94383</xdr:colOff>
      <xdr:row>11</xdr:row>
      <xdr:rowOff>124067</xdr:rowOff>
    </xdr:from>
    <xdr:to>
      <xdr:col>54</xdr:col>
      <xdr:colOff>506557</xdr:colOff>
      <xdr:row>12</xdr:row>
      <xdr:rowOff>185307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35B11DB4-E54A-4BDF-A9B1-42FEE669E66F}"/>
            </a:ext>
          </a:extLst>
        </xdr:cNvPr>
        <xdr:cNvGrpSpPr/>
      </xdr:nvGrpSpPr>
      <xdr:grpSpPr>
        <a:xfrm>
          <a:off x="26954883" y="2219567"/>
          <a:ext cx="6484362" cy="251740"/>
          <a:chOff x="7272759" y="2590175"/>
          <a:chExt cx="6772276" cy="251740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4D79CA3-8674-45C9-A8A0-4192D8CC7CEE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89" name="Picture 88">
            <a:extLst>
              <a:ext uri="{FF2B5EF4-FFF2-40B4-BE49-F238E27FC236}">
                <a16:creationId xmlns:a16="http://schemas.microsoft.com/office/drawing/2014/main" id="{A154C3EA-1572-43F3-B06F-7271FB280A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90" name="Picture 89">
            <a:extLst>
              <a:ext uri="{FF2B5EF4-FFF2-40B4-BE49-F238E27FC236}">
                <a16:creationId xmlns:a16="http://schemas.microsoft.com/office/drawing/2014/main" id="{B12C1659-C6F6-494D-9E1B-331213E189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91" name="Picture 90">
            <a:extLst>
              <a:ext uri="{FF2B5EF4-FFF2-40B4-BE49-F238E27FC236}">
                <a16:creationId xmlns:a16="http://schemas.microsoft.com/office/drawing/2014/main" id="{9A254347-2AF2-4ED1-AD0D-249663CD58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92" name="Picture 91">
            <a:extLst>
              <a:ext uri="{FF2B5EF4-FFF2-40B4-BE49-F238E27FC236}">
                <a16:creationId xmlns:a16="http://schemas.microsoft.com/office/drawing/2014/main" id="{AD1F8492-9054-46DB-8175-9046067520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44</xdr:col>
      <xdr:colOff>92528</xdr:colOff>
      <xdr:row>12</xdr:row>
      <xdr:rowOff>161243</xdr:rowOff>
    </xdr:from>
    <xdr:to>
      <xdr:col>44</xdr:col>
      <xdr:colOff>625078</xdr:colOff>
      <xdr:row>51</xdr:row>
      <xdr:rowOff>23812</xdr:rowOff>
    </xdr:to>
    <xdr:sp macro="" textlink="">
      <xdr:nvSpPr>
        <xdr:cNvPr id="93" name="Rectangle 92">
          <a:extLst>
            <a:ext uri="{FF2B5EF4-FFF2-40B4-BE49-F238E27FC236}">
              <a16:creationId xmlns:a16="http://schemas.microsoft.com/office/drawing/2014/main" id="{A690CE6E-17C7-4A76-8AE0-2EFA9787FC21}"/>
            </a:ext>
          </a:extLst>
        </xdr:cNvPr>
        <xdr:cNvSpPr/>
      </xdr:nvSpPr>
      <xdr:spPr>
        <a:xfrm>
          <a:off x="270482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54</xdr:col>
      <xdr:colOff>6803</xdr:colOff>
      <xdr:row>12</xdr:row>
      <xdr:rowOff>158862</xdr:rowOff>
    </xdr:from>
    <xdr:to>
      <xdr:col>54</xdr:col>
      <xdr:colOff>506016</xdr:colOff>
      <xdr:row>51</xdr:row>
      <xdr:rowOff>17859</xdr:rowOff>
    </xdr:to>
    <xdr:sp macro="" textlink="">
      <xdr:nvSpPr>
        <xdr:cNvPr id="94" name="Rectangle 93">
          <a:extLst>
            <a:ext uri="{FF2B5EF4-FFF2-40B4-BE49-F238E27FC236}">
              <a16:creationId xmlns:a16="http://schemas.microsoft.com/office/drawing/2014/main" id="{334E03DB-BF42-4F2B-9ECA-065A52636E24}"/>
            </a:ext>
          </a:extLst>
        </xdr:cNvPr>
        <xdr:cNvSpPr/>
      </xdr:nvSpPr>
      <xdr:spPr>
        <a:xfrm>
          <a:off x="330585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202410</xdr:colOff>
      <xdr:row>50</xdr:row>
      <xdr:rowOff>11906</xdr:rowOff>
    </xdr:from>
    <xdr:to>
      <xdr:col>54</xdr:col>
      <xdr:colOff>369094</xdr:colOff>
      <xdr:row>51</xdr:row>
      <xdr:rowOff>23812</xdr:rowOff>
    </xdr:to>
    <xdr:sp macro="" textlink="">
      <xdr:nvSpPr>
        <xdr:cNvPr id="95" name="Rectangle 94">
          <a:extLst>
            <a:ext uri="{FF2B5EF4-FFF2-40B4-BE49-F238E27FC236}">
              <a16:creationId xmlns:a16="http://schemas.microsoft.com/office/drawing/2014/main" id="{A4F370B0-96BC-469C-99AF-29986AEA10C5}"/>
            </a:ext>
          </a:extLst>
        </xdr:cNvPr>
        <xdr:cNvSpPr/>
      </xdr:nvSpPr>
      <xdr:spPr>
        <a:xfrm rot="16200000">
          <a:off x="301882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278076</xdr:colOff>
      <xdr:row>2</xdr:row>
      <xdr:rowOff>79720</xdr:rowOff>
    </xdr:from>
    <xdr:to>
      <xdr:col>10</xdr:col>
      <xdr:colOff>392168</xdr:colOff>
      <xdr:row>4</xdr:row>
      <xdr:rowOff>21311</xdr:rowOff>
    </xdr:to>
    <xdr:pic>
      <xdr:nvPicPr>
        <xdr:cNvPr id="96" name="Picture 95">
          <a:extLst>
            <a:ext uri="{FF2B5EF4-FFF2-40B4-BE49-F238E27FC236}">
              <a16:creationId xmlns:a16="http://schemas.microsoft.com/office/drawing/2014/main" id="{04315406-27E7-4160-92CC-C37B47C8BB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145226" y="460720"/>
          <a:ext cx="2476292" cy="322591"/>
        </a:xfrm>
        <a:prstGeom prst="rect">
          <a:avLst/>
        </a:prstGeom>
      </xdr:spPr>
    </xdr:pic>
    <xdr:clientData/>
  </xdr:twoCellAnchor>
  <xdr:twoCellAnchor editAs="oneCell">
    <xdr:from>
      <xdr:col>5</xdr:col>
      <xdr:colOff>599884</xdr:colOff>
      <xdr:row>26</xdr:row>
      <xdr:rowOff>53578</xdr:rowOff>
    </xdr:from>
    <xdr:to>
      <xdr:col>6</xdr:col>
      <xdr:colOff>581785</xdr:colOff>
      <xdr:row>26</xdr:row>
      <xdr:rowOff>166128</xdr:rowOff>
    </xdr:to>
    <xdr:pic>
      <xdr:nvPicPr>
        <xdr:cNvPr id="97" name="Picture 96">
          <a:extLst>
            <a:ext uri="{FF2B5EF4-FFF2-40B4-BE49-F238E27FC236}">
              <a16:creationId xmlns:a16="http://schemas.microsoft.com/office/drawing/2014/main" id="{3DAB11A0-6249-4C87-8ED9-AE4A1BCE5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857434" y="5035153"/>
          <a:ext cx="591501" cy="112550"/>
        </a:xfrm>
        <a:prstGeom prst="rect">
          <a:avLst/>
        </a:prstGeom>
      </xdr:spPr>
    </xdr:pic>
    <xdr:clientData/>
  </xdr:twoCellAnchor>
  <xdr:twoCellAnchor editAs="oneCell">
    <xdr:from>
      <xdr:col>5</xdr:col>
      <xdr:colOff>263879</xdr:colOff>
      <xdr:row>27</xdr:row>
      <xdr:rowOff>30391</xdr:rowOff>
    </xdr:from>
    <xdr:to>
      <xdr:col>6</xdr:col>
      <xdr:colOff>564562</xdr:colOff>
      <xdr:row>27</xdr:row>
      <xdr:rowOff>173076</xdr:rowOff>
    </xdr:to>
    <xdr:pic>
      <xdr:nvPicPr>
        <xdr:cNvPr id="98" name="Picture 97">
          <a:extLst>
            <a:ext uri="{FF2B5EF4-FFF2-40B4-BE49-F238E27FC236}">
              <a16:creationId xmlns:a16="http://schemas.microsoft.com/office/drawing/2014/main" id="{E922B235-15C5-4A93-8BCA-9C4EE7410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521429" y="5202466"/>
          <a:ext cx="910283" cy="142685"/>
        </a:xfrm>
        <a:prstGeom prst="rect">
          <a:avLst/>
        </a:prstGeom>
      </xdr:spPr>
    </xdr:pic>
    <xdr:clientData/>
  </xdr:twoCellAnchor>
  <xdr:twoCellAnchor editAs="oneCell">
    <xdr:from>
      <xdr:col>4</xdr:col>
      <xdr:colOff>464794</xdr:colOff>
      <xdr:row>28</xdr:row>
      <xdr:rowOff>28105</xdr:rowOff>
    </xdr:from>
    <xdr:to>
      <xdr:col>6</xdr:col>
      <xdr:colOff>558279</xdr:colOff>
      <xdr:row>28</xdr:row>
      <xdr:rowOff>171440</xdr:rowOff>
    </xdr:to>
    <xdr:pic>
      <xdr:nvPicPr>
        <xdr:cNvPr id="99" name="Picture 98">
          <a:extLst>
            <a:ext uri="{FF2B5EF4-FFF2-40B4-BE49-F238E27FC236}">
              <a16:creationId xmlns:a16="http://schemas.microsoft.com/office/drawing/2014/main" id="{6EE9E2CD-B800-44FD-A430-A6DECB596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112744" y="5390680"/>
          <a:ext cx="1312685" cy="143335"/>
        </a:xfrm>
        <a:prstGeom prst="rect">
          <a:avLst/>
        </a:prstGeom>
      </xdr:spPr>
    </xdr:pic>
    <xdr:clientData/>
  </xdr:twoCellAnchor>
  <xdr:twoCellAnchor editAs="oneCell">
    <xdr:from>
      <xdr:col>4</xdr:col>
      <xdr:colOff>143860</xdr:colOff>
      <xdr:row>18</xdr:row>
      <xdr:rowOff>115976</xdr:rowOff>
    </xdr:from>
    <xdr:to>
      <xdr:col>8</xdr:col>
      <xdr:colOff>255534</xdr:colOff>
      <xdr:row>19</xdr:row>
      <xdr:rowOff>57648</xdr:rowOff>
    </xdr:to>
    <xdr:pic>
      <xdr:nvPicPr>
        <xdr:cNvPr id="100" name="Picture 99">
          <a:extLst>
            <a:ext uri="{FF2B5EF4-FFF2-40B4-BE49-F238E27FC236}">
              <a16:creationId xmlns:a16="http://schemas.microsoft.com/office/drawing/2014/main" id="{4576EA42-EA25-4827-8571-BBCCE397BD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791810" y="3554501"/>
          <a:ext cx="2550074" cy="132172"/>
        </a:xfrm>
        <a:prstGeom prst="rect">
          <a:avLst/>
        </a:prstGeom>
      </xdr:spPr>
    </xdr:pic>
    <xdr:clientData/>
  </xdr:twoCellAnchor>
  <xdr:twoCellAnchor editAs="absolute">
    <xdr:from>
      <xdr:col>17</xdr:col>
      <xdr:colOff>424264</xdr:colOff>
      <xdr:row>2</xdr:row>
      <xdr:rowOff>72680</xdr:rowOff>
    </xdr:from>
    <xdr:to>
      <xdr:col>21</xdr:col>
      <xdr:colOff>466919</xdr:colOff>
      <xdr:row>4</xdr:row>
      <xdr:rowOff>14271</xdr:rowOff>
    </xdr:to>
    <xdr:pic>
      <xdr:nvPicPr>
        <xdr:cNvPr id="101" name="Picture 100">
          <a:extLst>
            <a:ext uri="{FF2B5EF4-FFF2-40B4-BE49-F238E27FC236}">
              <a16:creationId xmlns:a16="http://schemas.microsoft.com/office/drawing/2014/main" id="{2D877A1C-5217-4A27-A473-4F2372696F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0920814" y="453680"/>
          <a:ext cx="2481055" cy="322591"/>
        </a:xfrm>
        <a:prstGeom prst="rect">
          <a:avLst/>
        </a:prstGeom>
      </xdr:spPr>
    </xdr:pic>
    <xdr:clientData/>
  </xdr:twoCellAnchor>
  <xdr:twoCellAnchor editAs="absolute">
    <xdr:from>
      <xdr:col>28</xdr:col>
      <xdr:colOff>449320</xdr:colOff>
      <xdr:row>2</xdr:row>
      <xdr:rowOff>39270</xdr:rowOff>
    </xdr:from>
    <xdr:to>
      <xdr:col>32</xdr:col>
      <xdr:colOff>491975</xdr:colOff>
      <xdr:row>3</xdr:row>
      <xdr:rowOff>171361</xdr:rowOff>
    </xdr:to>
    <xdr:pic>
      <xdr:nvPicPr>
        <xdr:cNvPr id="102" name="Picture 101">
          <a:extLst>
            <a:ext uri="{FF2B5EF4-FFF2-40B4-BE49-F238E27FC236}">
              <a16:creationId xmlns:a16="http://schemas.microsoft.com/office/drawing/2014/main" id="{955D8BC5-533A-4F6D-B722-C0584FDE93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651470" y="420270"/>
          <a:ext cx="2481055" cy="322591"/>
        </a:xfrm>
        <a:prstGeom prst="rect">
          <a:avLst/>
        </a:prstGeom>
      </xdr:spPr>
    </xdr:pic>
    <xdr:clientData/>
  </xdr:twoCellAnchor>
  <xdr:twoCellAnchor editAs="absolute">
    <xdr:from>
      <xdr:col>39</xdr:col>
      <xdr:colOff>442280</xdr:colOff>
      <xdr:row>2</xdr:row>
      <xdr:rowOff>45385</xdr:rowOff>
    </xdr:from>
    <xdr:to>
      <xdr:col>43</xdr:col>
      <xdr:colOff>484935</xdr:colOff>
      <xdr:row>3</xdr:row>
      <xdr:rowOff>177476</xdr:rowOff>
    </xdr:to>
    <xdr:pic>
      <xdr:nvPicPr>
        <xdr:cNvPr id="103" name="Picture 102">
          <a:extLst>
            <a:ext uri="{FF2B5EF4-FFF2-40B4-BE49-F238E27FC236}">
              <a16:creationId xmlns:a16="http://schemas.microsoft.com/office/drawing/2014/main" id="{94A8B36D-62E4-4532-8DBB-2D98313276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4350030" y="426385"/>
          <a:ext cx="2481055" cy="322591"/>
        </a:xfrm>
        <a:prstGeom prst="rect">
          <a:avLst/>
        </a:prstGeom>
      </xdr:spPr>
    </xdr:pic>
    <xdr:clientData/>
  </xdr:twoCellAnchor>
  <xdr:twoCellAnchor editAs="absolute">
    <xdr:from>
      <xdr:col>50</xdr:col>
      <xdr:colOff>446293</xdr:colOff>
      <xdr:row>2</xdr:row>
      <xdr:rowOff>69526</xdr:rowOff>
    </xdr:from>
    <xdr:to>
      <xdr:col>54</xdr:col>
      <xdr:colOff>488948</xdr:colOff>
      <xdr:row>4</xdr:row>
      <xdr:rowOff>11117</xdr:rowOff>
    </xdr:to>
    <xdr:pic>
      <xdr:nvPicPr>
        <xdr:cNvPr id="104" name="Picture 103">
          <a:extLst>
            <a:ext uri="{FF2B5EF4-FFF2-40B4-BE49-F238E27FC236}">
              <a16:creationId xmlns:a16="http://schemas.microsoft.com/office/drawing/2014/main" id="{46554A4E-C334-480C-B1A0-4CCB04D3E0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1059643" y="450526"/>
          <a:ext cx="2481055" cy="322591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6</xdr:row>
      <xdr:rowOff>161059</xdr:rowOff>
    </xdr:from>
    <xdr:to>
      <xdr:col>54</xdr:col>
      <xdr:colOff>499110</xdr:colOff>
      <xdr:row>10</xdr:row>
      <xdr:rowOff>173182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A33F76B1-CD45-494E-9089-9E3EA7BAB3F6}"/>
            </a:ext>
          </a:extLst>
        </xdr:cNvPr>
        <xdr:cNvGrpSpPr/>
      </xdr:nvGrpSpPr>
      <xdr:grpSpPr>
        <a:xfrm>
          <a:off x="26955750" y="1304059"/>
          <a:ext cx="6476048" cy="774123"/>
          <a:chOff x="26921114" y="1321377"/>
          <a:chExt cx="6451022" cy="774123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37E7D4E3-CA16-4BE4-A0CE-16560E31F70F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07" name="Picture 106">
            <a:extLst>
              <a:ext uri="{FF2B5EF4-FFF2-40B4-BE49-F238E27FC236}">
                <a16:creationId xmlns:a16="http://schemas.microsoft.com/office/drawing/2014/main" id="{B10DA06E-4233-4062-98D6-9A9451E66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98563</xdr:colOff>
      <xdr:row>6</xdr:row>
      <xdr:rowOff>180938</xdr:rowOff>
    </xdr:from>
    <xdr:to>
      <xdr:col>21</xdr:col>
      <xdr:colOff>502423</xdr:colOff>
      <xdr:row>11</xdr:row>
      <xdr:rowOff>2561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E89E6CAA-BA8C-4FAE-9490-E5B4CA0C41B5}"/>
            </a:ext>
          </a:extLst>
        </xdr:cNvPr>
        <xdr:cNvGrpSpPr/>
      </xdr:nvGrpSpPr>
      <xdr:grpSpPr>
        <a:xfrm>
          <a:off x="6920844" y="1323938"/>
          <a:ext cx="6476048" cy="774123"/>
          <a:chOff x="26921114" y="1321377"/>
          <a:chExt cx="6451022" cy="774123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F3452D6F-A05C-4F67-9CF7-BC05FD422EBF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10" name="Picture 109">
            <a:extLst>
              <a:ext uri="{FF2B5EF4-FFF2-40B4-BE49-F238E27FC236}">
                <a16:creationId xmlns:a16="http://schemas.microsoft.com/office/drawing/2014/main" id="{10475F5B-93DB-4627-91A9-AE7A36E548D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90280</xdr:colOff>
      <xdr:row>6</xdr:row>
      <xdr:rowOff>172654</xdr:rowOff>
    </xdr:from>
    <xdr:to>
      <xdr:col>32</xdr:col>
      <xdr:colOff>494139</xdr:colOff>
      <xdr:row>10</xdr:row>
      <xdr:rowOff>184777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1E4EDCC1-4685-4012-8CE1-5D6845440035}"/>
            </a:ext>
          </a:extLst>
        </xdr:cNvPr>
        <xdr:cNvGrpSpPr/>
      </xdr:nvGrpSpPr>
      <xdr:grpSpPr>
        <a:xfrm>
          <a:off x="13591968" y="1315654"/>
          <a:ext cx="6476046" cy="774123"/>
          <a:chOff x="26921114" y="1321377"/>
          <a:chExt cx="6451022" cy="774123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2B45772B-0276-4415-A84C-B77591E9F4F2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13" name="Picture 112">
            <a:extLst>
              <a:ext uri="{FF2B5EF4-FFF2-40B4-BE49-F238E27FC236}">
                <a16:creationId xmlns:a16="http://schemas.microsoft.com/office/drawing/2014/main" id="{E2C68305-E6F0-4102-854E-F49131A1A38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101874</xdr:colOff>
      <xdr:row>6</xdr:row>
      <xdr:rowOff>159402</xdr:rowOff>
    </xdr:from>
    <xdr:to>
      <xdr:col>43</xdr:col>
      <xdr:colOff>505734</xdr:colOff>
      <xdr:row>10</xdr:row>
      <xdr:rowOff>171525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C30C33E6-94D3-4739-B102-6BFA51171138}"/>
            </a:ext>
          </a:extLst>
        </xdr:cNvPr>
        <xdr:cNvGrpSpPr/>
      </xdr:nvGrpSpPr>
      <xdr:grpSpPr>
        <a:xfrm>
          <a:off x="20282968" y="1302402"/>
          <a:ext cx="6476047" cy="774123"/>
          <a:chOff x="26921114" y="1321377"/>
          <a:chExt cx="6451022" cy="774123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45A2D321-B7D7-438A-915D-D4F33E652D0E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16" name="Picture 115">
            <a:extLst>
              <a:ext uri="{FF2B5EF4-FFF2-40B4-BE49-F238E27FC236}">
                <a16:creationId xmlns:a16="http://schemas.microsoft.com/office/drawing/2014/main" id="{A95136F4-EB30-45DF-BD35-B3397DC4BED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509689</xdr:colOff>
      <xdr:row>21</xdr:row>
      <xdr:rowOff>190506</xdr:rowOff>
    </xdr:from>
    <xdr:to>
      <xdr:col>10</xdr:col>
      <xdr:colOff>455542</xdr:colOff>
      <xdr:row>29</xdr:row>
      <xdr:rowOff>4648</xdr:rowOff>
    </xdr:to>
    <xdr:sp macro="" textlink="">
      <xdr:nvSpPr>
        <xdr:cNvPr id="117" name="Rectangle 116">
          <a:extLst>
            <a:ext uri="{FF2B5EF4-FFF2-40B4-BE49-F238E27FC236}">
              <a16:creationId xmlns:a16="http://schemas.microsoft.com/office/drawing/2014/main" id="{980B0289-75D5-4FF4-993A-92C0AFB702F1}"/>
            </a:ext>
          </a:extLst>
        </xdr:cNvPr>
        <xdr:cNvSpPr/>
      </xdr:nvSpPr>
      <xdr:spPr>
        <a:xfrm rot="5400000">
          <a:off x="5766670" y="4639500"/>
          <a:ext cx="1357192" cy="479253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6</xdr:col>
      <xdr:colOff>32844</xdr:colOff>
      <xdr:row>25</xdr:row>
      <xdr:rowOff>31289</xdr:rowOff>
    </xdr:from>
    <xdr:to>
      <xdr:col>6</xdr:col>
      <xdr:colOff>543028</xdr:colOff>
      <xdr:row>25</xdr:row>
      <xdr:rowOff>177055</xdr:rowOff>
    </xdr:to>
    <xdr:pic>
      <xdr:nvPicPr>
        <xdr:cNvPr id="118" name="Picture 117">
          <a:extLst>
            <a:ext uri="{FF2B5EF4-FFF2-40B4-BE49-F238E27FC236}">
              <a16:creationId xmlns:a16="http://schemas.microsoft.com/office/drawing/2014/main" id="{ECE11243-FF75-4869-98AD-F92B494FE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3899994" y="4822364"/>
          <a:ext cx="510184" cy="145766"/>
        </a:xfrm>
        <a:prstGeom prst="rect">
          <a:avLst/>
        </a:prstGeom>
      </xdr:spPr>
    </xdr:pic>
    <xdr:clientData/>
  </xdr:twoCellAnchor>
  <xdr:twoCellAnchor editAs="oneCell">
    <xdr:from>
      <xdr:col>3</xdr:col>
      <xdr:colOff>271096</xdr:colOff>
      <xdr:row>23</xdr:row>
      <xdr:rowOff>22531</xdr:rowOff>
    </xdr:from>
    <xdr:to>
      <xdr:col>6</xdr:col>
      <xdr:colOff>563078</xdr:colOff>
      <xdr:row>23</xdr:row>
      <xdr:rowOff>183172</xdr:rowOff>
    </xdr:to>
    <xdr:pic>
      <xdr:nvPicPr>
        <xdr:cNvPr id="119" name="Picture 118">
          <a:extLst>
            <a:ext uri="{FF2B5EF4-FFF2-40B4-BE49-F238E27FC236}">
              <a16:creationId xmlns:a16="http://schemas.microsoft.com/office/drawing/2014/main" id="{5D869A38-A450-47DF-BE00-6DE007516E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185621" y="4423081"/>
          <a:ext cx="2244607" cy="160641"/>
        </a:xfrm>
        <a:prstGeom prst="rect">
          <a:avLst/>
        </a:prstGeom>
      </xdr:spPr>
    </xdr:pic>
    <xdr:clientData/>
  </xdr:twoCellAnchor>
  <xdr:twoCellAnchor editAs="oneCell">
    <xdr:from>
      <xdr:col>3</xdr:col>
      <xdr:colOff>278422</xdr:colOff>
      <xdr:row>24</xdr:row>
      <xdr:rowOff>27719</xdr:rowOff>
    </xdr:from>
    <xdr:to>
      <xdr:col>6</xdr:col>
      <xdr:colOff>559496</xdr:colOff>
      <xdr:row>24</xdr:row>
      <xdr:rowOff>184671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43850993-5A5A-4BE2-A9EF-7B0FC4B661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192947" y="4618769"/>
          <a:ext cx="2233699" cy="156952"/>
        </a:xfrm>
        <a:prstGeom prst="rect">
          <a:avLst/>
        </a:prstGeom>
      </xdr:spPr>
    </xdr:pic>
    <xdr:clientData/>
  </xdr:twoCellAnchor>
  <xdr:twoCellAnchor editAs="oneCell">
    <xdr:from>
      <xdr:col>1</xdr:col>
      <xdr:colOff>395652</xdr:colOff>
      <xdr:row>22</xdr:row>
      <xdr:rowOff>45447</xdr:rowOff>
    </xdr:from>
    <xdr:to>
      <xdr:col>6</xdr:col>
      <xdr:colOff>580922</xdr:colOff>
      <xdr:row>23</xdr:row>
      <xdr:rowOff>28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7E3D78B7-2CB9-44B8-B7EC-42E7998C72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05252" y="4255497"/>
          <a:ext cx="3442820" cy="145081"/>
        </a:xfrm>
        <a:prstGeom prst="rect">
          <a:avLst/>
        </a:prstGeom>
      </xdr:spPr>
    </xdr:pic>
    <xdr:clientData/>
  </xdr:twoCellAnchor>
  <xdr:twoCellAnchor>
    <xdr:from>
      <xdr:col>0</xdr:col>
      <xdr:colOff>70757</xdr:colOff>
      <xdr:row>29</xdr:row>
      <xdr:rowOff>5443</xdr:rowOff>
    </xdr:from>
    <xdr:to>
      <xdr:col>10</xdr:col>
      <xdr:colOff>457201</xdr:colOff>
      <xdr:row>29</xdr:row>
      <xdr:rowOff>103415</xdr:rowOff>
    </xdr:to>
    <xdr:sp macro="" textlink="">
      <xdr:nvSpPr>
        <xdr:cNvPr id="122" name="Rectangle 121">
          <a:extLst>
            <a:ext uri="{FF2B5EF4-FFF2-40B4-BE49-F238E27FC236}">
              <a16:creationId xmlns:a16="http://schemas.microsoft.com/office/drawing/2014/main" id="{6C6015BA-0584-435D-9B86-D6A19C095743}"/>
            </a:ext>
          </a:extLst>
        </xdr:cNvPr>
        <xdr:cNvSpPr/>
      </xdr:nvSpPr>
      <xdr:spPr>
        <a:xfrm>
          <a:off x="70757" y="5558518"/>
          <a:ext cx="6615794" cy="979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65314</xdr:colOff>
      <xdr:row>28</xdr:row>
      <xdr:rowOff>174172</xdr:rowOff>
    </xdr:from>
    <xdr:to>
      <xdr:col>6</xdr:col>
      <xdr:colOff>598715</xdr:colOff>
      <xdr:row>29</xdr:row>
      <xdr:rowOff>32657</xdr:rowOff>
    </xdr:to>
    <xdr:sp macro="" textlink="">
      <xdr:nvSpPr>
        <xdr:cNvPr id="123" name="Rectangle 122">
          <a:extLst>
            <a:ext uri="{FF2B5EF4-FFF2-40B4-BE49-F238E27FC236}">
              <a16:creationId xmlns:a16="http://schemas.microsoft.com/office/drawing/2014/main" id="{4C0E77B2-8262-48CC-AF7B-EDBAC2297371}"/>
            </a:ext>
          </a:extLst>
        </xdr:cNvPr>
        <xdr:cNvSpPr/>
      </xdr:nvSpPr>
      <xdr:spPr>
        <a:xfrm>
          <a:off x="65314" y="5536747"/>
          <a:ext cx="4400551" cy="48985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18</xdr:col>
      <xdr:colOff>428625</xdr:colOff>
      <xdr:row>9</xdr:row>
      <xdr:rowOff>35719</xdr:rowOff>
    </xdr:from>
    <xdr:to>
      <xdr:col>20</xdr:col>
      <xdr:colOff>276499</xdr:colOff>
      <xdr:row>10</xdr:row>
      <xdr:rowOff>33337</xdr:rowOff>
    </xdr:to>
    <xdr:pic>
      <xdr:nvPicPr>
        <xdr:cNvPr id="142" name="Picture 141">
          <a:extLst>
            <a:ext uri="{FF2B5EF4-FFF2-40B4-BE49-F238E27FC236}">
              <a16:creationId xmlns:a16="http://schemas.microsoft.com/office/drawing/2014/main" id="{E8B1FC69-1C28-4572-A785-A93DFEF5D7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1501438" y="1750219"/>
          <a:ext cx="1062311" cy="188118"/>
        </a:xfrm>
        <a:prstGeom prst="rect">
          <a:avLst/>
        </a:prstGeom>
      </xdr:spPr>
    </xdr:pic>
    <xdr:clientData/>
  </xdr:twoCellAnchor>
  <xdr:twoCellAnchor editAs="oneCell">
    <xdr:from>
      <xdr:col>7</xdr:col>
      <xdr:colOff>285750</xdr:colOff>
      <xdr:row>12</xdr:row>
      <xdr:rowOff>95250</xdr:rowOff>
    </xdr:from>
    <xdr:to>
      <xdr:col>9</xdr:col>
      <xdr:colOff>133624</xdr:colOff>
      <xdr:row>13</xdr:row>
      <xdr:rowOff>80962</xdr:rowOff>
    </xdr:to>
    <xdr:pic>
      <xdr:nvPicPr>
        <xdr:cNvPr id="143" name="Picture 142">
          <a:extLst>
            <a:ext uri="{FF2B5EF4-FFF2-40B4-BE49-F238E27FC236}">
              <a16:creationId xmlns:a16="http://schemas.microsoft.com/office/drawing/2014/main" id="{E69A2BA8-E41F-4643-90AD-2564A4ADE5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4750594" y="2381250"/>
          <a:ext cx="1062311" cy="188118"/>
        </a:xfrm>
        <a:prstGeom prst="rect">
          <a:avLst/>
        </a:prstGeom>
      </xdr:spPr>
    </xdr:pic>
    <xdr:clientData/>
  </xdr:twoCellAnchor>
  <xdr:twoCellAnchor editAs="oneCell">
    <xdr:from>
      <xdr:col>29</xdr:col>
      <xdr:colOff>402432</xdr:colOff>
      <xdr:row>9</xdr:row>
      <xdr:rowOff>9525</xdr:rowOff>
    </xdr:from>
    <xdr:to>
      <xdr:col>31</xdr:col>
      <xdr:colOff>250306</xdr:colOff>
      <xdr:row>10</xdr:row>
      <xdr:rowOff>7143</xdr:rowOff>
    </xdr:to>
    <xdr:pic>
      <xdr:nvPicPr>
        <xdr:cNvPr id="134" name="Picture 133">
          <a:extLst>
            <a:ext uri="{FF2B5EF4-FFF2-40B4-BE49-F238E27FC236}">
              <a16:creationId xmlns:a16="http://schemas.microsoft.com/office/drawing/2014/main" id="{C0B387B3-CAAC-4094-81F2-622F0F9D9D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8154651" y="1724025"/>
          <a:ext cx="1062311" cy="188118"/>
        </a:xfrm>
        <a:prstGeom prst="rect">
          <a:avLst/>
        </a:prstGeom>
      </xdr:spPr>
    </xdr:pic>
    <xdr:clientData/>
  </xdr:twoCellAnchor>
  <xdr:twoCellAnchor editAs="oneCell">
    <xdr:from>
      <xdr:col>40</xdr:col>
      <xdr:colOff>435770</xdr:colOff>
      <xdr:row>9</xdr:row>
      <xdr:rowOff>19050</xdr:rowOff>
    </xdr:from>
    <xdr:to>
      <xdr:col>42</xdr:col>
      <xdr:colOff>283643</xdr:colOff>
      <xdr:row>10</xdr:row>
      <xdr:rowOff>16668</xdr:rowOff>
    </xdr:to>
    <xdr:pic>
      <xdr:nvPicPr>
        <xdr:cNvPr id="135" name="Picture 134">
          <a:extLst>
            <a:ext uri="{FF2B5EF4-FFF2-40B4-BE49-F238E27FC236}">
              <a16:creationId xmlns:a16="http://schemas.microsoft.com/office/drawing/2014/main" id="{B37A52FC-FD14-45E2-AA42-D01B0B8729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4867395" y="1733550"/>
          <a:ext cx="1062311" cy="188118"/>
        </a:xfrm>
        <a:prstGeom prst="rect">
          <a:avLst/>
        </a:prstGeom>
      </xdr:spPr>
    </xdr:pic>
    <xdr:clientData/>
  </xdr:twoCellAnchor>
  <xdr:twoCellAnchor editAs="oneCell">
    <xdr:from>
      <xdr:col>51</xdr:col>
      <xdr:colOff>421483</xdr:colOff>
      <xdr:row>9</xdr:row>
      <xdr:rowOff>16668</xdr:rowOff>
    </xdr:from>
    <xdr:to>
      <xdr:col>53</xdr:col>
      <xdr:colOff>269356</xdr:colOff>
      <xdr:row>10</xdr:row>
      <xdr:rowOff>14286</xdr:rowOff>
    </xdr:to>
    <xdr:pic>
      <xdr:nvPicPr>
        <xdr:cNvPr id="136" name="Picture 135">
          <a:extLst>
            <a:ext uri="{FF2B5EF4-FFF2-40B4-BE49-F238E27FC236}">
              <a16:creationId xmlns:a16="http://schemas.microsoft.com/office/drawing/2014/main" id="{FF4312C4-C5AA-4C24-9E3A-5581078B1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31532514" y="1731168"/>
          <a:ext cx="1062311" cy="188118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571500</xdr:colOff>
      <xdr:row>10</xdr:row>
      <xdr:rowOff>59531</xdr:rowOff>
    </xdr:from>
    <xdr:to>
      <xdr:col>9</xdr:col>
      <xdr:colOff>369093</xdr:colOff>
      <xdr:row>15</xdr:row>
      <xdr:rowOff>101514</xdr:rowOff>
    </xdr:to>
    <xdr:pic>
      <xdr:nvPicPr>
        <xdr:cNvPr id="129" name="Picture 128">
          <a:extLst>
            <a:ext uri="{FF2B5EF4-FFF2-40B4-BE49-F238E27FC236}">
              <a16:creationId xmlns:a16="http://schemas.microsoft.com/office/drawing/2014/main" id="{D8A6B7C5-1A37-4F11-BDE5-4DEF6B1C3B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571500" y="1964531"/>
          <a:ext cx="5476874" cy="1006389"/>
        </a:xfrm>
        <a:prstGeom prst="rect">
          <a:avLst/>
        </a:prstGeom>
      </xdr:spPr>
    </xdr:pic>
    <xdr:clientData/>
  </xdr:twoCellAnchor>
  <xdr:twoCellAnchor editAs="oneCell">
    <xdr:from>
      <xdr:col>12</xdr:col>
      <xdr:colOff>202406</xdr:colOff>
      <xdr:row>7</xdr:row>
      <xdr:rowOff>71437</xdr:rowOff>
    </xdr:from>
    <xdr:to>
      <xdr:col>20</xdr:col>
      <xdr:colOff>432814</xdr:colOff>
      <xdr:row>10</xdr:row>
      <xdr:rowOff>59531</xdr:rowOff>
    </xdr:to>
    <xdr:pic>
      <xdr:nvPicPr>
        <xdr:cNvPr id="130" name="Picture 129">
          <a:extLst>
            <a:ext uri="{FF2B5EF4-FFF2-40B4-BE49-F238E27FC236}">
              <a16:creationId xmlns:a16="http://schemas.microsoft.com/office/drawing/2014/main" id="{16FFDA7A-C4E5-47AB-B802-AB81A7295A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631906" y="1404937"/>
          <a:ext cx="5088158" cy="559594"/>
        </a:xfrm>
        <a:prstGeom prst="rect">
          <a:avLst/>
        </a:prstGeom>
      </xdr:spPr>
    </xdr:pic>
    <xdr:clientData/>
  </xdr:twoCellAnchor>
  <xdr:twoCellAnchor editAs="oneCell">
    <xdr:from>
      <xdr:col>23</xdr:col>
      <xdr:colOff>128588</xdr:colOff>
      <xdr:row>7</xdr:row>
      <xdr:rowOff>57149</xdr:rowOff>
    </xdr:from>
    <xdr:to>
      <xdr:col>31</xdr:col>
      <xdr:colOff>358996</xdr:colOff>
      <xdr:row>10</xdr:row>
      <xdr:rowOff>45243</xdr:rowOff>
    </xdr:to>
    <xdr:pic>
      <xdr:nvPicPr>
        <xdr:cNvPr id="131" name="Picture 130">
          <a:extLst>
            <a:ext uri="{FF2B5EF4-FFF2-40B4-BE49-F238E27FC236}">
              <a16:creationId xmlns:a16="http://schemas.microsoft.com/office/drawing/2014/main" id="{C058D3BA-43B8-459E-822C-3333F093B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237494" y="1390649"/>
          <a:ext cx="5088158" cy="559594"/>
        </a:xfrm>
        <a:prstGeom prst="rect">
          <a:avLst/>
        </a:prstGeom>
      </xdr:spPr>
    </xdr:pic>
    <xdr:clientData/>
  </xdr:twoCellAnchor>
  <xdr:twoCellAnchor editAs="oneCell">
    <xdr:from>
      <xdr:col>34</xdr:col>
      <xdr:colOff>173831</xdr:colOff>
      <xdr:row>7</xdr:row>
      <xdr:rowOff>66674</xdr:rowOff>
    </xdr:from>
    <xdr:to>
      <xdr:col>42</xdr:col>
      <xdr:colOff>404239</xdr:colOff>
      <xdr:row>10</xdr:row>
      <xdr:rowOff>54768</xdr:rowOff>
    </xdr:to>
    <xdr:pic>
      <xdr:nvPicPr>
        <xdr:cNvPr id="132" name="Picture 131">
          <a:extLst>
            <a:ext uri="{FF2B5EF4-FFF2-40B4-BE49-F238E27FC236}">
              <a16:creationId xmlns:a16="http://schemas.microsoft.com/office/drawing/2014/main" id="{39762C48-AC59-4252-BFB7-71C2CC93C4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0962144" y="1400174"/>
          <a:ext cx="5088158" cy="559594"/>
        </a:xfrm>
        <a:prstGeom prst="rect">
          <a:avLst/>
        </a:prstGeom>
      </xdr:spPr>
    </xdr:pic>
    <xdr:clientData/>
  </xdr:twoCellAnchor>
  <xdr:twoCellAnchor editAs="oneCell">
    <xdr:from>
      <xdr:col>45</xdr:col>
      <xdr:colOff>159543</xdr:colOff>
      <xdr:row>7</xdr:row>
      <xdr:rowOff>64293</xdr:rowOff>
    </xdr:from>
    <xdr:to>
      <xdr:col>53</xdr:col>
      <xdr:colOff>389951</xdr:colOff>
      <xdr:row>10</xdr:row>
      <xdr:rowOff>52387</xdr:rowOff>
    </xdr:to>
    <xdr:pic>
      <xdr:nvPicPr>
        <xdr:cNvPr id="133" name="Picture 132">
          <a:extLst>
            <a:ext uri="{FF2B5EF4-FFF2-40B4-BE49-F238E27FC236}">
              <a16:creationId xmlns:a16="http://schemas.microsoft.com/office/drawing/2014/main" id="{662F6C2D-272B-47B0-83C9-AE90776736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7627262" y="1397793"/>
          <a:ext cx="5088158" cy="559594"/>
        </a:xfrm>
        <a:prstGeom prst="rect">
          <a:avLst/>
        </a:prstGeom>
      </xdr:spPr>
    </xdr:pic>
    <xdr:clientData/>
  </xdr:twoCellAnchor>
  <xdr:twoCellAnchor editAs="oneCell">
    <xdr:from>
      <xdr:col>51</xdr:col>
      <xdr:colOff>600075</xdr:colOff>
      <xdr:row>9</xdr:row>
      <xdr:rowOff>40481</xdr:rowOff>
    </xdr:from>
    <xdr:to>
      <xdr:col>53</xdr:col>
      <xdr:colOff>233480</xdr:colOff>
      <xdr:row>10</xdr:row>
      <xdr:rowOff>2402</xdr:rowOff>
    </xdr:to>
    <xdr:pic>
      <xdr:nvPicPr>
        <xdr:cNvPr id="124" name="Picture 123">
          <a:extLst>
            <a:ext uri="{FF2B5EF4-FFF2-40B4-BE49-F238E27FC236}">
              <a16:creationId xmlns:a16="http://schemas.microsoft.com/office/drawing/2014/main" id="{79D4841E-8D87-4932-AC80-FB98A150A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31711106" y="1754981"/>
          <a:ext cx="847843" cy="152421"/>
        </a:xfrm>
        <a:prstGeom prst="rect">
          <a:avLst/>
        </a:prstGeom>
      </xdr:spPr>
    </xdr:pic>
    <xdr:clientData/>
  </xdr:twoCellAnchor>
  <xdr:twoCellAnchor editAs="oneCell">
    <xdr:from>
      <xdr:col>40</xdr:col>
      <xdr:colOff>601937</xdr:colOff>
      <xdr:row>9</xdr:row>
      <xdr:rowOff>40339</xdr:rowOff>
    </xdr:from>
    <xdr:to>
      <xdr:col>42</xdr:col>
      <xdr:colOff>235342</xdr:colOff>
      <xdr:row>10</xdr:row>
      <xdr:rowOff>2260</xdr:rowOff>
    </xdr:to>
    <xdr:pic>
      <xdr:nvPicPr>
        <xdr:cNvPr id="125" name="Picture 124">
          <a:extLst>
            <a:ext uri="{FF2B5EF4-FFF2-40B4-BE49-F238E27FC236}">
              <a16:creationId xmlns:a16="http://schemas.microsoft.com/office/drawing/2014/main" id="{5E177EE1-711A-4C2F-87E2-6EAE7C8F8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33562" y="1754839"/>
          <a:ext cx="847843" cy="152421"/>
        </a:xfrm>
        <a:prstGeom prst="rect">
          <a:avLst/>
        </a:prstGeom>
      </xdr:spPr>
    </xdr:pic>
    <xdr:clientData/>
  </xdr:twoCellAnchor>
  <xdr:twoCellAnchor editAs="oneCell">
    <xdr:from>
      <xdr:col>29</xdr:col>
      <xdr:colOff>557212</xdr:colOff>
      <xdr:row>9</xdr:row>
      <xdr:rowOff>33337</xdr:rowOff>
    </xdr:from>
    <xdr:to>
      <xdr:col>31</xdr:col>
      <xdr:colOff>190618</xdr:colOff>
      <xdr:row>9</xdr:row>
      <xdr:rowOff>185758</xdr:rowOff>
    </xdr:to>
    <xdr:pic>
      <xdr:nvPicPr>
        <xdr:cNvPr id="126" name="Picture 125">
          <a:extLst>
            <a:ext uri="{FF2B5EF4-FFF2-40B4-BE49-F238E27FC236}">
              <a16:creationId xmlns:a16="http://schemas.microsoft.com/office/drawing/2014/main" id="{EF591798-896F-49F7-A940-CD2D07A6E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8309431" y="1747837"/>
          <a:ext cx="847843" cy="152421"/>
        </a:xfrm>
        <a:prstGeom prst="rect">
          <a:avLst/>
        </a:prstGeom>
      </xdr:spPr>
    </xdr:pic>
    <xdr:clientData/>
  </xdr:twoCellAnchor>
  <xdr:twoCellAnchor editAs="oneCell">
    <xdr:from>
      <xdr:col>19</xdr:col>
      <xdr:colOff>23813</xdr:colOff>
      <xdr:row>9</xdr:row>
      <xdr:rowOff>47625</xdr:rowOff>
    </xdr:from>
    <xdr:to>
      <xdr:col>20</xdr:col>
      <xdr:colOff>264437</xdr:colOff>
      <xdr:row>10</xdr:row>
      <xdr:rowOff>9546</xdr:rowOff>
    </xdr:to>
    <xdr:pic>
      <xdr:nvPicPr>
        <xdr:cNvPr id="127" name="Picture 126">
          <a:extLst>
            <a:ext uri="{FF2B5EF4-FFF2-40B4-BE49-F238E27FC236}">
              <a16:creationId xmlns:a16="http://schemas.microsoft.com/office/drawing/2014/main" id="{1E4241BA-9CE3-48A9-A073-73BFD968FE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1703844" y="1762125"/>
          <a:ext cx="847843" cy="152421"/>
        </a:xfrm>
        <a:prstGeom prst="rect">
          <a:avLst/>
        </a:prstGeom>
      </xdr:spPr>
    </xdr:pic>
    <xdr:clientData/>
  </xdr:twoCellAnchor>
  <xdr:twoCellAnchor editAs="oneCell">
    <xdr:from>
      <xdr:col>7</xdr:col>
      <xdr:colOff>273844</xdr:colOff>
      <xdr:row>12</xdr:row>
      <xdr:rowOff>65951</xdr:rowOff>
    </xdr:from>
    <xdr:to>
      <xdr:col>8</xdr:col>
      <xdr:colOff>595313</xdr:colOff>
      <xdr:row>13</xdr:row>
      <xdr:rowOff>30500</xdr:rowOff>
    </xdr:to>
    <xdr:pic>
      <xdr:nvPicPr>
        <xdr:cNvPr id="128" name="Picture 127">
          <a:extLst>
            <a:ext uri="{FF2B5EF4-FFF2-40B4-BE49-F238E27FC236}">
              <a16:creationId xmlns:a16="http://schemas.microsoft.com/office/drawing/2014/main" id="{65D78EAB-A3D0-4953-904D-1CB81CD7E6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738688" y="2351951"/>
          <a:ext cx="928688" cy="166955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571500</xdr:colOff>
      <xdr:row>10</xdr:row>
      <xdr:rowOff>59531</xdr:rowOff>
    </xdr:from>
    <xdr:to>
      <xdr:col>4</xdr:col>
      <xdr:colOff>376531</xdr:colOff>
      <xdr:row>11</xdr:row>
      <xdr:rowOff>119062</xdr:rowOff>
    </xdr:to>
    <xdr:pic>
      <xdr:nvPicPr>
        <xdr:cNvPr id="139" name="Picture 138">
          <a:extLst>
            <a:ext uri="{FF2B5EF4-FFF2-40B4-BE49-F238E27FC236}">
              <a16:creationId xmlns:a16="http://schemas.microsoft.com/office/drawing/2014/main" id="{026C43E6-AB7A-4435-96E5-2F45FF5E49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571500" y="1964531"/>
          <a:ext cx="2448219" cy="250031"/>
        </a:xfrm>
        <a:prstGeom prst="rect">
          <a:avLst/>
        </a:prstGeom>
      </xdr:spPr>
    </xdr:pic>
    <xdr:clientData/>
  </xdr:twoCellAnchor>
  <xdr:twoCellAnchor editAs="oneCell">
    <xdr:from>
      <xdr:col>12</xdr:col>
      <xdr:colOff>202406</xdr:colOff>
      <xdr:row>7</xdr:row>
      <xdr:rowOff>71437</xdr:rowOff>
    </xdr:from>
    <xdr:to>
      <xdr:col>16</xdr:col>
      <xdr:colOff>221750</xdr:colOff>
      <xdr:row>8</xdr:row>
      <xdr:rowOff>130968</xdr:rowOff>
    </xdr:to>
    <xdr:pic>
      <xdr:nvPicPr>
        <xdr:cNvPr id="140" name="Picture 139">
          <a:extLst>
            <a:ext uri="{FF2B5EF4-FFF2-40B4-BE49-F238E27FC236}">
              <a16:creationId xmlns:a16="http://schemas.microsoft.com/office/drawing/2014/main" id="{FB44F954-9852-4351-9FE9-6697A7618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7631906" y="1404937"/>
          <a:ext cx="2448219" cy="250031"/>
        </a:xfrm>
        <a:prstGeom prst="rect">
          <a:avLst/>
        </a:prstGeom>
      </xdr:spPr>
    </xdr:pic>
    <xdr:clientData/>
  </xdr:twoCellAnchor>
  <xdr:twoCellAnchor editAs="oneCell">
    <xdr:from>
      <xdr:col>23</xdr:col>
      <xdr:colOff>128588</xdr:colOff>
      <xdr:row>7</xdr:row>
      <xdr:rowOff>57149</xdr:rowOff>
    </xdr:from>
    <xdr:to>
      <xdr:col>27</xdr:col>
      <xdr:colOff>147932</xdr:colOff>
      <xdr:row>8</xdr:row>
      <xdr:rowOff>116680</xdr:rowOff>
    </xdr:to>
    <xdr:pic>
      <xdr:nvPicPr>
        <xdr:cNvPr id="141" name="Picture 140">
          <a:extLst>
            <a:ext uri="{FF2B5EF4-FFF2-40B4-BE49-F238E27FC236}">
              <a16:creationId xmlns:a16="http://schemas.microsoft.com/office/drawing/2014/main" id="{1692CE0E-0E32-4EAA-82EB-AC26334963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14237494" y="1390649"/>
          <a:ext cx="2448219" cy="250031"/>
        </a:xfrm>
        <a:prstGeom prst="rect">
          <a:avLst/>
        </a:prstGeom>
      </xdr:spPr>
    </xdr:pic>
    <xdr:clientData/>
  </xdr:twoCellAnchor>
  <xdr:twoCellAnchor editAs="oneCell">
    <xdr:from>
      <xdr:col>34</xdr:col>
      <xdr:colOff>173831</xdr:colOff>
      <xdr:row>7</xdr:row>
      <xdr:rowOff>66674</xdr:rowOff>
    </xdr:from>
    <xdr:to>
      <xdr:col>38</xdr:col>
      <xdr:colOff>193175</xdr:colOff>
      <xdr:row>8</xdr:row>
      <xdr:rowOff>126205</xdr:rowOff>
    </xdr:to>
    <xdr:pic>
      <xdr:nvPicPr>
        <xdr:cNvPr id="144" name="Picture 143">
          <a:extLst>
            <a:ext uri="{FF2B5EF4-FFF2-40B4-BE49-F238E27FC236}">
              <a16:creationId xmlns:a16="http://schemas.microsoft.com/office/drawing/2014/main" id="{82766202-C63C-4143-AC1C-F57BB657B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0962144" y="1400174"/>
          <a:ext cx="2448219" cy="250031"/>
        </a:xfrm>
        <a:prstGeom prst="rect">
          <a:avLst/>
        </a:prstGeom>
      </xdr:spPr>
    </xdr:pic>
    <xdr:clientData/>
  </xdr:twoCellAnchor>
  <xdr:twoCellAnchor editAs="oneCell">
    <xdr:from>
      <xdr:col>45</xdr:col>
      <xdr:colOff>159543</xdr:colOff>
      <xdr:row>7</xdr:row>
      <xdr:rowOff>64293</xdr:rowOff>
    </xdr:from>
    <xdr:to>
      <xdr:col>49</xdr:col>
      <xdr:colOff>178887</xdr:colOff>
      <xdr:row>8</xdr:row>
      <xdr:rowOff>123824</xdr:rowOff>
    </xdr:to>
    <xdr:pic>
      <xdr:nvPicPr>
        <xdr:cNvPr id="145" name="Picture 144">
          <a:extLst>
            <a:ext uri="{FF2B5EF4-FFF2-40B4-BE49-F238E27FC236}">
              <a16:creationId xmlns:a16="http://schemas.microsoft.com/office/drawing/2014/main" id="{E2CCE9BB-4EE2-4A15-9AF8-7139415420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7627262" y="1397793"/>
          <a:ext cx="2448219" cy="250031"/>
        </a:xfrm>
        <a:prstGeom prst="rect">
          <a:avLst/>
        </a:prstGeom>
      </xdr:spPr>
    </xdr:pic>
    <xdr:clientData/>
  </xdr:twoCellAnchor>
  <xdr:twoCellAnchor editAs="oneCell">
    <xdr:from>
      <xdr:col>50</xdr:col>
      <xdr:colOff>28574</xdr:colOff>
      <xdr:row>7</xdr:row>
      <xdr:rowOff>76199</xdr:rowOff>
    </xdr:from>
    <xdr:to>
      <xdr:col>52</xdr:col>
      <xdr:colOff>281192</xdr:colOff>
      <xdr:row>8</xdr:row>
      <xdr:rowOff>57173</xdr:rowOff>
    </xdr:to>
    <xdr:pic>
      <xdr:nvPicPr>
        <xdr:cNvPr id="137" name="Picture 136">
          <a:extLst>
            <a:ext uri="{FF2B5EF4-FFF2-40B4-BE49-F238E27FC236}">
              <a16:creationId xmlns:a16="http://schemas.microsoft.com/office/drawing/2014/main" id="{89521688-A5FD-4AA1-90C3-41775DD3D8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30532387" y="1409699"/>
          <a:ext cx="1467055" cy="171474"/>
        </a:xfrm>
        <a:prstGeom prst="rect">
          <a:avLst/>
        </a:prstGeom>
      </xdr:spPr>
    </xdr:pic>
    <xdr:clientData/>
  </xdr:twoCellAnchor>
  <xdr:twoCellAnchor editAs="oneCell">
    <xdr:from>
      <xdr:col>39</xdr:col>
      <xdr:colOff>14288</xdr:colOff>
      <xdr:row>7</xdr:row>
      <xdr:rowOff>85724</xdr:rowOff>
    </xdr:from>
    <xdr:to>
      <xdr:col>41</xdr:col>
      <xdr:colOff>266905</xdr:colOff>
      <xdr:row>8</xdr:row>
      <xdr:rowOff>66698</xdr:rowOff>
    </xdr:to>
    <xdr:pic>
      <xdr:nvPicPr>
        <xdr:cNvPr id="138" name="Picture 137">
          <a:extLst>
            <a:ext uri="{FF2B5EF4-FFF2-40B4-BE49-F238E27FC236}">
              <a16:creationId xmlns:a16="http://schemas.microsoft.com/office/drawing/2014/main" id="{382B809A-B85C-4EFF-8C9A-66B0FD633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3838694" y="1419224"/>
          <a:ext cx="1467055" cy="171474"/>
        </a:xfrm>
        <a:prstGeom prst="rect">
          <a:avLst/>
        </a:prstGeom>
      </xdr:spPr>
    </xdr:pic>
    <xdr:clientData/>
  </xdr:twoCellAnchor>
  <xdr:twoCellAnchor editAs="oneCell">
    <xdr:from>
      <xdr:col>27</xdr:col>
      <xdr:colOff>557213</xdr:colOff>
      <xdr:row>7</xdr:row>
      <xdr:rowOff>92867</xdr:rowOff>
    </xdr:from>
    <xdr:to>
      <xdr:col>30</xdr:col>
      <xdr:colOff>202611</xdr:colOff>
      <xdr:row>8</xdr:row>
      <xdr:rowOff>73841</xdr:rowOff>
    </xdr:to>
    <xdr:pic>
      <xdr:nvPicPr>
        <xdr:cNvPr id="146" name="Picture 145">
          <a:extLst>
            <a:ext uri="{FF2B5EF4-FFF2-40B4-BE49-F238E27FC236}">
              <a16:creationId xmlns:a16="http://schemas.microsoft.com/office/drawing/2014/main" id="{4ADAFC97-4676-4D78-8CE2-CDDC374D08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17094994" y="1426367"/>
          <a:ext cx="1467055" cy="171474"/>
        </a:xfrm>
        <a:prstGeom prst="rect">
          <a:avLst/>
        </a:prstGeom>
      </xdr:spPr>
    </xdr:pic>
    <xdr:clientData/>
  </xdr:twoCellAnchor>
  <xdr:twoCellAnchor editAs="oneCell">
    <xdr:from>
      <xdr:col>17</xdr:col>
      <xdr:colOff>47624</xdr:colOff>
      <xdr:row>7</xdr:row>
      <xdr:rowOff>95249</xdr:rowOff>
    </xdr:from>
    <xdr:to>
      <xdr:col>19</xdr:col>
      <xdr:colOff>300242</xdr:colOff>
      <xdr:row>8</xdr:row>
      <xdr:rowOff>76223</xdr:rowOff>
    </xdr:to>
    <xdr:pic>
      <xdr:nvPicPr>
        <xdr:cNvPr id="147" name="Picture 146">
          <a:extLst>
            <a:ext uri="{FF2B5EF4-FFF2-40B4-BE49-F238E27FC236}">
              <a16:creationId xmlns:a16="http://schemas.microsoft.com/office/drawing/2014/main" id="{766CBBE7-0D26-484D-A687-C6407E0929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10513218" y="1428749"/>
          <a:ext cx="1467055" cy="171474"/>
        </a:xfrm>
        <a:prstGeom prst="rect">
          <a:avLst/>
        </a:prstGeom>
      </xdr:spPr>
    </xdr:pic>
    <xdr:clientData/>
  </xdr:twoCellAnchor>
  <xdr:twoCellAnchor editAs="oneCell">
    <xdr:from>
      <xdr:col>5</xdr:col>
      <xdr:colOff>261938</xdr:colOff>
      <xdr:row>10</xdr:row>
      <xdr:rowOff>119062</xdr:rowOff>
    </xdr:from>
    <xdr:to>
      <xdr:col>7</xdr:col>
      <xdr:colOff>514555</xdr:colOff>
      <xdr:row>11</xdr:row>
      <xdr:rowOff>100036</xdr:rowOff>
    </xdr:to>
    <xdr:pic>
      <xdr:nvPicPr>
        <xdr:cNvPr id="148" name="Picture 147">
          <a:extLst>
            <a:ext uri="{FF2B5EF4-FFF2-40B4-BE49-F238E27FC236}">
              <a16:creationId xmlns:a16="http://schemas.microsoft.com/office/drawing/2014/main" id="{429E6332-29E6-4E9B-BE00-13577801D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3512344" y="2024062"/>
          <a:ext cx="1467055" cy="1714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734C0-88C8-4158-9798-85D38F9F1759}">
  <sheetPr codeName="Sheet1"/>
  <dimension ref="A1:BC53"/>
  <sheetViews>
    <sheetView showGridLines="0" tabSelected="1" view="pageBreakPreview" zoomScale="80" zoomScaleNormal="60" zoomScaleSheetLayoutView="80" zoomScalePageLayoutView="70" workbookViewId="0">
      <selection activeCell="Q18" sqref="Q18:U18"/>
    </sheetView>
  </sheetViews>
  <sheetFormatPr defaultRowHeight="15" x14ac:dyDescent="0.25"/>
  <cols>
    <col min="2" max="2" width="10.42578125" customWidth="1"/>
    <col min="4" max="4" width="11" customWidth="1"/>
    <col min="10" max="10" width="8" customWidth="1"/>
  </cols>
  <sheetData>
    <row r="1" spans="1:5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</row>
    <row r="2" spans="1:55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</row>
    <row r="3" spans="1:55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</row>
    <row r="4" spans="1:55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</row>
    <row r="5" spans="1:55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</row>
    <row r="6" spans="1:55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</row>
    <row r="7" spans="1:55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</row>
    <row r="8" spans="1:55" x14ac:dyDescent="0.25">
      <c r="A8" s="1"/>
      <c r="B8" s="1"/>
      <c r="C8" s="1"/>
      <c r="D8" s="1"/>
      <c r="E8" s="1"/>
      <c r="F8" s="1"/>
      <c r="G8" s="1"/>
      <c r="H8" s="1"/>
      <c r="I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</row>
    <row r="9" spans="1:55" x14ac:dyDescent="0.25">
      <c r="A9" s="1"/>
      <c r="B9" s="1"/>
      <c r="C9" s="1"/>
      <c r="D9" s="1"/>
      <c r="E9" s="1"/>
      <c r="F9" s="1"/>
      <c r="G9" s="1"/>
      <c r="H9" s="1"/>
      <c r="I9" s="1"/>
      <c r="K9" s="1"/>
      <c r="L9" s="1"/>
      <c r="M9" s="3"/>
      <c r="N9" s="23"/>
      <c r="O9" s="23"/>
      <c r="P9" s="3"/>
      <c r="Q9" s="23"/>
      <c r="R9" s="23"/>
      <c r="S9" s="23"/>
      <c r="T9" s="23"/>
      <c r="U9" s="23"/>
      <c r="V9" s="1"/>
      <c r="W9" s="1"/>
      <c r="X9" s="5"/>
      <c r="Y9" s="23"/>
      <c r="Z9" s="23"/>
      <c r="AA9" s="5"/>
      <c r="AB9" s="23"/>
      <c r="AC9" s="23"/>
      <c r="AD9" s="23"/>
      <c r="AE9" s="23"/>
      <c r="AF9" s="23"/>
      <c r="AG9" s="1"/>
      <c r="AH9" s="1"/>
      <c r="AI9" s="5"/>
      <c r="AJ9" s="23"/>
      <c r="AK9" s="23"/>
      <c r="AL9" s="5"/>
      <c r="AM9" s="23"/>
      <c r="AN9" s="23"/>
      <c r="AO9" s="23"/>
      <c r="AP9" s="23"/>
      <c r="AQ9" s="23"/>
      <c r="AR9" s="1"/>
      <c r="AS9" s="1"/>
      <c r="AT9" s="5"/>
      <c r="AU9" s="23"/>
      <c r="AV9" s="23"/>
      <c r="AW9" s="5"/>
      <c r="AX9" s="23"/>
      <c r="AY9" s="23"/>
      <c r="AZ9" s="23"/>
      <c r="BA9" s="23"/>
      <c r="BB9" s="23"/>
      <c r="BC9" s="1"/>
    </row>
    <row r="10" spans="1:55" x14ac:dyDescent="0.25">
      <c r="A10" s="1"/>
      <c r="B10" s="1"/>
      <c r="C10" s="1"/>
      <c r="D10" s="1"/>
      <c r="E10" s="1"/>
      <c r="F10" s="1"/>
      <c r="G10" s="1"/>
      <c r="H10" s="1"/>
      <c r="I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</row>
    <row r="11" spans="1:55" x14ac:dyDescent="0.25">
      <c r="A11" s="1"/>
      <c r="B11" s="1"/>
      <c r="C11" s="1"/>
      <c r="D11" s="1"/>
      <c r="E11" s="1"/>
      <c r="F11" s="1"/>
      <c r="G11" s="1"/>
      <c r="H11" s="1"/>
      <c r="I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</row>
    <row r="12" spans="1:55" x14ac:dyDescent="0.25">
      <c r="A12" s="1"/>
      <c r="B12" s="1"/>
      <c r="C12" s="1"/>
      <c r="D12" s="1"/>
      <c r="E12" s="1"/>
      <c r="F12" s="1"/>
      <c r="G12" s="1"/>
      <c r="H12" s="1"/>
      <c r="I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</row>
    <row r="13" spans="1:55" ht="15.75" thickBot="1" x14ac:dyDescent="0.3">
      <c r="A13" s="1"/>
      <c r="B13" s="1"/>
      <c r="C13" s="1"/>
      <c r="D13" s="1"/>
      <c r="E13" s="1"/>
      <c r="F13" s="1"/>
      <c r="G13" s="1"/>
      <c r="H13" s="1"/>
      <c r="I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</row>
    <row r="14" spans="1:55" x14ac:dyDescent="0.25">
      <c r="A14" s="1"/>
      <c r="B14" s="1"/>
      <c r="C14" s="1"/>
      <c r="D14" s="1"/>
      <c r="E14" s="1"/>
      <c r="F14" s="1"/>
      <c r="G14" s="1"/>
      <c r="H14" s="1"/>
      <c r="I14" s="1"/>
      <c r="K14" s="1"/>
      <c r="L14" s="1"/>
      <c r="M14" s="15">
        <v>1</v>
      </c>
      <c r="N14" s="19" t="s">
        <v>28</v>
      </c>
      <c r="O14" s="20"/>
      <c r="P14" s="16">
        <v>1</v>
      </c>
      <c r="Q14" s="21"/>
      <c r="R14" s="22"/>
      <c r="S14" s="22"/>
      <c r="T14" s="22"/>
      <c r="U14" s="22"/>
      <c r="V14" s="1"/>
      <c r="W14" s="1"/>
      <c r="X14" s="15"/>
      <c r="Y14" s="19" t="s">
        <v>30</v>
      </c>
      <c r="Z14" s="20"/>
      <c r="AA14" s="16">
        <v>2</v>
      </c>
      <c r="AB14" s="21"/>
      <c r="AC14" s="22"/>
      <c r="AD14" s="22"/>
      <c r="AE14" s="22"/>
      <c r="AF14" s="22"/>
      <c r="AG14" s="1"/>
      <c r="AH14" s="1"/>
      <c r="AI14" s="15"/>
      <c r="AJ14" s="19"/>
      <c r="AK14" s="20"/>
      <c r="AL14" s="16"/>
      <c r="AM14" s="21"/>
      <c r="AN14" s="22"/>
      <c r="AO14" s="22"/>
      <c r="AP14" s="22"/>
      <c r="AQ14" s="22"/>
      <c r="AR14" s="1"/>
      <c r="AS14" s="1"/>
      <c r="AT14" s="15"/>
      <c r="AU14" s="19"/>
      <c r="AV14" s="20"/>
      <c r="AW14" s="16"/>
      <c r="AX14" s="21"/>
      <c r="AY14" s="22"/>
      <c r="AZ14" s="22"/>
      <c r="BA14" s="22"/>
      <c r="BB14" s="22"/>
      <c r="BC14" s="1"/>
    </row>
    <row r="15" spans="1:55" x14ac:dyDescent="0.25">
      <c r="A15" s="1"/>
      <c r="B15" s="1"/>
      <c r="C15" s="1"/>
      <c r="D15" s="1"/>
      <c r="E15" s="1"/>
      <c r="G15" s="1"/>
      <c r="H15" s="1"/>
      <c r="K15" s="1"/>
      <c r="L15" s="1"/>
      <c r="M15" s="15">
        <v>1</v>
      </c>
      <c r="N15" s="19" t="s">
        <v>4</v>
      </c>
      <c r="O15" s="20"/>
      <c r="P15" s="17">
        <v>3</v>
      </c>
      <c r="Q15" s="21"/>
      <c r="R15" s="22"/>
      <c r="S15" s="22"/>
      <c r="T15" s="22"/>
      <c r="U15" s="22"/>
      <c r="V15" s="1"/>
      <c r="W15" s="1"/>
      <c r="X15" s="15"/>
      <c r="Y15" s="19"/>
      <c r="Z15" s="20"/>
      <c r="AA15" s="17"/>
      <c r="AB15" s="21"/>
      <c r="AC15" s="22"/>
      <c r="AD15" s="22"/>
      <c r="AE15" s="22"/>
      <c r="AF15" s="22"/>
      <c r="AG15" s="1"/>
      <c r="AH15" s="1"/>
      <c r="AI15" s="15"/>
      <c r="AJ15" s="19"/>
      <c r="AK15" s="20"/>
      <c r="AL15" s="17"/>
      <c r="AM15" s="21"/>
      <c r="AN15" s="22"/>
      <c r="AO15" s="22"/>
      <c r="AP15" s="22"/>
      <c r="AQ15" s="22"/>
      <c r="AR15" s="1"/>
      <c r="AS15" s="1"/>
      <c r="AT15" s="15"/>
      <c r="AU15" s="19"/>
      <c r="AV15" s="20"/>
      <c r="AW15" s="17"/>
      <c r="AX15" s="21"/>
      <c r="AY15" s="22"/>
      <c r="AZ15" s="22"/>
      <c r="BA15" s="22"/>
      <c r="BB15" s="22"/>
      <c r="BC15" s="1"/>
    </row>
    <row r="16" spans="1:55" x14ac:dyDescent="0.25">
      <c r="A16" s="1"/>
      <c r="B16" s="1"/>
      <c r="C16" s="1"/>
      <c r="D16" s="1"/>
      <c r="E16" s="1"/>
      <c r="G16" s="1"/>
      <c r="H16" s="1"/>
      <c r="I16" s="1"/>
      <c r="K16" s="1"/>
      <c r="L16" s="1"/>
      <c r="M16" s="15"/>
      <c r="N16" s="19" t="s">
        <v>15</v>
      </c>
      <c r="O16" s="20"/>
      <c r="P16" s="17">
        <v>3</v>
      </c>
      <c r="Q16" s="21"/>
      <c r="R16" s="22"/>
      <c r="S16" s="22"/>
      <c r="T16" s="22"/>
      <c r="U16" s="22"/>
      <c r="V16" s="1"/>
      <c r="W16" s="1"/>
      <c r="X16" s="15"/>
      <c r="Y16" s="19"/>
      <c r="Z16" s="20"/>
      <c r="AA16" s="17"/>
      <c r="AB16" s="21"/>
      <c r="AC16" s="22"/>
      <c r="AD16" s="22"/>
      <c r="AE16" s="22"/>
      <c r="AF16" s="22"/>
      <c r="AG16" s="1"/>
      <c r="AH16" s="1"/>
      <c r="AI16" s="15"/>
      <c r="AJ16" s="19"/>
      <c r="AK16" s="20"/>
      <c r="AL16" s="17"/>
      <c r="AM16" s="21"/>
      <c r="AN16" s="22"/>
      <c r="AO16" s="22"/>
      <c r="AP16" s="22"/>
      <c r="AQ16" s="22"/>
      <c r="AR16" s="1"/>
      <c r="AS16" s="1"/>
      <c r="AT16" s="15"/>
      <c r="AU16" s="19"/>
      <c r="AV16" s="20"/>
      <c r="AW16" s="17"/>
      <c r="AX16" s="21"/>
      <c r="AY16" s="22"/>
      <c r="AZ16" s="22"/>
      <c r="BA16" s="22"/>
      <c r="BB16" s="22"/>
      <c r="BC16" s="1"/>
    </row>
    <row r="17" spans="1:55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5"/>
      <c r="N17" s="19"/>
      <c r="O17" s="20"/>
      <c r="P17" s="17"/>
      <c r="Q17" s="21"/>
      <c r="R17" s="22"/>
      <c r="S17" s="22"/>
      <c r="T17" s="22"/>
      <c r="U17" s="22"/>
      <c r="V17" s="1"/>
      <c r="W17" s="1"/>
      <c r="X17" s="15"/>
      <c r="Y17" s="19"/>
      <c r="Z17" s="20"/>
      <c r="AA17" s="17"/>
      <c r="AB17" s="21"/>
      <c r="AC17" s="22"/>
      <c r="AD17" s="22"/>
      <c r="AE17" s="22"/>
      <c r="AF17" s="22"/>
      <c r="AG17" s="1"/>
      <c r="AH17" s="1"/>
      <c r="AI17" s="15"/>
      <c r="AJ17" s="19"/>
      <c r="AK17" s="20"/>
      <c r="AL17" s="17"/>
      <c r="AM17" s="21"/>
      <c r="AN17" s="22"/>
      <c r="AO17" s="22"/>
      <c r="AP17" s="22"/>
      <c r="AQ17" s="22"/>
      <c r="AR17" s="1"/>
      <c r="AS17" s="1"/>
      <c r="AT17" s="15"/>
      <c r="AU17" s="19"/>
      <c r="AV17" s="20"/>
      <c r="AW17" s="17"/>
      <c r="AX17" s="21"/>
      <c r="AY17" s="22"/>
      <c r="AZ17" s="22"/>
      <c r="BA17" s="22"/>
      <c r="BB17" s="22"/>
      <c r="BC17" s="1"/>
    </row>
    <row r="18" spans="1:55" x14ac:dyDescent="0.25">
      <c r="A18" s="1"/>
      <c r="B18" s="1"/>
      <c r="C18" s="24"/>
      <c r="D18" s="24"/>
      <c r="E18" s="24"/>
      <c r="F18" s="24"/>
      <c r="G18" s="24"/>
      <c r="H18" s="24"/>
      <c r="I18" s="4">
        <f ca="1">SUM(H23:H25)</f>
        <v>6</v>
      </c>
      <c r="J18" s="1"/>
      <c r="K18" s="1"/>
      <c r="L18" s="1"/>
      <c r="M18" s="15"/>
      <c r="N18" s="19" t="s">
        <v>3</v>
      </c>
      <c r="O18" s="20"/>
      <c r="P18" s="17">
        <v>3</v>
      </c>
      <c r="Q18" s="21"/>
      <c r="R18" s="22"/>
      <c r="S18" s="22"/>
      <c r="T18" s="22"/>
      <c r="U18" s="22"/>
      <c r="V18" s="1"/>
      <c r="W18" s="1"/>
      <c r="X18" s="15"/>
      <c r="Y18" s="19"/>
      <c r="Z18" s="20"/>
      <c r="AA18" s="17"/>
      <c r="AB18" s="21"/>
      <c r="AC18" s="22"/>
      <c r="AD18" s="22"/>
      <c r="AE18" s="22"/>
      <c r="AF18" s="22"/>
      <c r="AG18" s="1"/>
      <c r="AH18" s="1"/>
      <c r="AI18" s="15"/>
      <c r="AJ18" s="19"/>
      <c r="AK18" s="20"/>
      <c r="AL18" s="17"/>
      <c r="AM18" s="21"/>
      <c r="AN18" s="22"/>
      <c r="AO18" s="22"/>
      <c r="AP18" s="22"/>
      <c r="AQ18" s="22"/>
      <c r="AR18" s="1"/>
      <c r="AS18" s="1"/>
      <c r="AT18" s="15"/>
      <c r="AU18" s="19"/>
      <c r="AV18" s="20"/>
      <c r="AW18" s="17"/>
      <c r="AX18" s="21"/>
      <c r="AY18" s="22"/>
      <c r="AZ18" s="22"/>
      <c r="BA18" s="22"/>
      <c r="BB18" s="22"/>
      <c r="BC18" s="1"/>
    </row>
    <row r="19" spans="1:55" x14ac:dyDescent="0.25">
      <c r="A19" s="1"/>
      <c r="B19" s="1"/>
      <c r="J19" s="1"/>
      <c r="K19" s="1"/>
      <c r="L19" s="1"/>
      <c r="M19" s="15"/>
      <c r="N19" s="19" t="s">
        <v>2</v>
      </c>
      <c r="O19" s="20"/>
      <c r="P19" s="17">
        <v>4</v>
      </c>
      <c r="Q19" s="21"/>
      <c r="R19" s="22"/>
      <c r="S19" s="22"/>
      <c r="T19" s="22"/>
      <c r="U19" s="22"/>
      <c r="V19" s="1"/>
      <c r="W19" s="1"/>
      <c r="X19" s="15"/>
      <c r="Y19" s="19"/>
      <c r="Z19" s="20"/>
      <c r="AA19" s="17"/>
      <c r="AB19" s="21"/>
      <c r="AC19" s="22"/>
      <c r="AD19" s="22"/>
      <c r="AE19" s="22"/>
      <c r="AF19" s="22"/>
      <c r="AG19" s="1"/>
      <c r="AH19" s="1"/>
      <c r="AI19" s="15"/>
      <c r="AJ19" s="19"/>
      <c r="AK19" s="20"/>
      <c r="AL19" s="17"/>
      <c r="AM19" s="21"/>
      <c r="AN19" s="22"/>
      <c r="AO19" s="22"/>
      <c r="AP19" s="22"/>
      <c r="AQ19" s="22"/>
      <c r="AR19" s="1"/>
      <c r="AS19" s="1"/>
      <c r="AT19" s="15"/>
      <c r="AU19" s="19"/>
      <c r="AV19" s="20"/>
      <c r="AW19" s="17"/>
      <c r="AX19" s="21"/>
      <c r="AY19" s="22"/>
      <c r="AZ19" s="22"/>
      <c r="BA19" s="22"/>
      <c r="BB19" s="22"/>
      <c r="BC19" s="1"/>
    </row>
    <row r="20" spans="1:55" x14ac:dyDescent="0.25">
      <c r="A20" s="1"/>
      <c r="B20" s="1"/>
      <c r="C20" s="1"/>
      <c r="D20" s="1"/>
      <c r="E20" s="1"/>
      <c r="F20" s="1"/>
      <c r="K20" s="1"/>
      <c r="L20" s="1"/>
      <c r="M20" s="15"/>
      <c r="N20" s="19"/>
      <c r="O20" s="20"/>
      <c r="P20" s="17"/>
      <c r="Q20" s="21"/>
      <c r="R20" s="22"/>
      <c r="S20" s="22"/>
      <c r="T20" s="22"/>
      <c r="U20" s="22"/>
      <c r="V20" s="1"/>
      <c r="W20" s="1"/>
      <c r="X20" s="15"/>
      <c r="Y20" s="19"/>
      <c r="Z20" s="20"/>
      <c r="AA20" s="17"/>
      <c r="AB20" s="21"/>
      <c r="AC20" s="22"/>
      <c r="AD20" s="22"/>
      <c r="AE20" s="22"/>
      <c r="AF20" s="22"/>
      <c r="AG20" s="1"/>
      <c r="AH20" s="1"/>
      <c r="AI20" s="15"/>
      <c r="AJ20" s="19"/>
      <c r="AK20" s="20"/>
      <c r="AL20" s="17"/>
      <c r="AM20" s="21"/>
      <c r="AN20" s="22"/>
      <c r="AO20" s="22"/>
      <c r="AP20" s="22"/>
      <c r="AQ20" s="22"/>
      <c r="AR20" s="1"/>
      <c r="AS20" s="1"/>
      <c r="AT20" s="15"/>
      <c r="AU20" s="19"/>
      <c r="AV20" s="20"/>
      <c r="AW20" s="17"/>
      <c r="AX20" s="21"/>
      <c r="AY20" s="22"/>
      <c r="AZ20" s="22"/>
      <c r="BA20" s="22"/>
      <c r="BB20" s="22"/>
      <c r="BC20" s="1"/>
    </row>
    <row r="21" spans="1:55" x14ac:dyDescent="0.25">
      <c r="A21" s="1"/>
      <c r="B21" s="1"/>
      <c r="C21" s="1"/>
      <c r="D21" s="1"/>
      <c r="E21" s="1"/>
      <c r="F21" s="1"/>
      <c r="K21" s="1"/>
      <c r="L21" s="1"/>
      <c r="M21" s="15"/>
      <c r="N21" s="19"/>
      <c r="O21" s="20"/>
      <c r="P21" s="17"/>
      <c r="Q21" s="21"/>
      <c r="R21" s="22"/>
      <c r="S21" s="22"/>
      <c r="T21" s="22"/>
      <c r="U21" s="22"/>
      <c r="V21" s="1"/>
      <c r="W21" s="1"/>
      <c r="X21" s="15"/>
      <c r="Y21" s="19"/>
      <c r="Z21" s="20"/>
      <c r="AA21" s="17"/>
      <c r="AB21" s="21"/>
      <c r="AC21" s="22"/>
      <c r="AD21" s="22"/>
      <c r="AE21" s="22"/>
      <c r="AF21" s="22"/>
      <c r="AG21" s="1"/>
      <c r="AH21" s="1"/>
      <c r="AI21" s="15"/>
      <c r="AJ21" s="19"/>
      <c r="AK21" s="20"/>
      <c r="AL21" s="17"/>
      <c r="AM21" s="21"/>
      <c r="AN21" s="22"/>
      <c r="AO21" s="22"/>
      <c r="AP21" s="22"/>
      <c r="AQ21" s="22"/>
      <c r="AR21" s="1"/>
      <c r="AS21" s="1"/>
      <c r="AT21" s="15"/>
      <c r="AU21" s="19"/>
      <c r="AV21" s="20"/>
      <c r="AW21" s="17"/>
      <c r="AX21" s="21"/>
      <c r="AY21" s="22"/>
      <c r="AZ21" s="22"/>
      <c r="BA21" s="22"/>
      <c r="BB21" s="22"/>
      <c r="BC21" s="1"/>
    </row>
    <row r="22" spans="1:55" ht="15.75" thickBot="1" x14ac:dyDescent="0.3">
      <c r="A22" s="1"/>
      <c r="B22" s="1"/>
      <c r="C22" s="1"/>
      <c r="D22" s="1"/>
      <c r="E22" s="1"/>
      <c r="F22" s="1"/>
      <c r="K22" s="1"/>
      <c r="L22" s="1"/>
      <c r="M22" s="15"/>
      <c r="N22" s="19"/>
      <c r="O22" s="20"/>
      <c r="P22" s="17"/>
      <c r="Q22" s="21"/>
      <c r="R22" s="22"/>
      <c r="S22" s="22"/>
      <c r="T22" s="22"/>
      <c r="U22" s="22"/>
      <c r="V22" s="1"/>
      <c r="W22" s="1"/>
      <c r="X22" s="15"/>
      <c r="Y22" s="19"/>
      <c r="Z22" s="20"/>
      <c r="AA22" s="17"/>
      <c r="AB22" s="21"/>
      <c r="AC22" s="22"/>
      <c r="AD22" s="22"/>
      <c r="AE22" s="22"/>
      <c r="AF22" s="22"/>
      <c r="AG22" s="1"/>
      <c r="AH22" s="1"/>
      <c r="AI22" s="15"/>
      <c r="AJ22" s="19"/>
      <c r="AK22" s="20"/>
      <c r="AL22" s="17"/>
      <c r="AM22" s="21"/>
      <c r="AN22" s="22"/>
      <c r="AO22" s="22"/>
      <c r="AP22" s="22"/>
      <c r="AQ22" s="22"/>
      <c r="AR22" s="1"/>
      <c r="AS22" s="1"/>
      <c r="AT22" s="15"/>
      <c r="AU22" s="19"/>
      <c r="AV22" s="20"/>
      <c r="AW22" s="17"/>
      <c r="AX22" s="21"/>
      <c r="AY22" s="22"/>
      <c r="AZ22" s="22"/>
      <c r="BA22" s="22"/>
      <c r="BB22" s="22"/>
      <c r="BC22" s="1"/>
    </row>
    <row r="23" spans="1:55" x14ac:dyDescent="0.25">
      <c r="A23" s="1"/>
      <c r="B23" s="1"/>
      <c r="C23" s="1"/>
      <c r="D23" s="1"/>
      <c r="E23" s="1"/>
      <c r="F23" s="1"/>
      <c r="H23" s="8">
        <f ca="1">SUM('Mapping table_1'!G12:J18)</f>
        <v>0</v>
      </c>
      <c r="I23" s="9">
        <f ca="1">H23/$I$18</f>
        <v>0</v>
      </c>
      <c r="J23" s="7"/>
      <c r="K23" s="1"/>
      <c r="L23" s="1"/>
      <c r="M23" s="15"/>
      <c r="N23" s="19"/>
      <c r="O23" s="20"/>
      <c r="P23" s="17"/>
      <c r="Q23" s="21"/>
      <c r="R23" s="22"/>
      <c r="S23" s="22"/>
      <c r="T23" s="22"/>
      <c r="U23" s="22"/>
      <c r="V23" s="1"/>
      <c r="W23" s="1"/>
      <c r="X23" s="15"/>
      <c r="Y23" s="19"/>
      <c r="Z23" s="20"/>
      <c r="AA23" s="17"/>
      <c r="AB23" s="21"/>
      <c r="AC23" s="22"/>
      <c r="AD23" s="22"/>
      <c r="AE23" s="22"/>
      <c r="AF23" s="22"/>
      <c r="AG23" s="1"/>
      <c r="AH23" s="1"/>
      <c r="AI23" s="15"/>
      <c r="AJ23" s="19"/>
      <c r="AK23" s="20"/>
      <c r="AL23" s="17"/>
      <c r="AM23" s="21"/>
      <c r="AN23" s="22"/>
      <c r="AO23" s="22"/>
      <c r="AP23" s="22"/>
      <c r="AQ23" s="22"/>
      <c r="AR23" s="1"/>
      <c r="AS23" s="1"/>
      <c r="AT23" s="15"/>
      <c r="AU23" s="19"/>
      <c r="AV23" s="20"/>
      <c r="AW23" s="17"/>
      <c r="AX23" s="21"/>
      <c r="AY23" s="22"/>
      <c r="AZ23" s="22"/>
      <c r="BA23" s="22"/>
      <c r="BB23" s="22"/>
      <c r="BC23" s="1"/>
    </row>
    <row r="24" spans="1:55" x14ac:dyDescent="0.25">
      <c r="A24" s="1"/>
      <c r="B24" s="1"/>
      <c r="C24" s="1"/>
      <c r="D24" s="1"/>
      <c r="E24" s="1"/>
      <c r="F24" s="1"/>
      <c r="H24" s="10">
        <f ca="1">SUM('Mapping table_1'!G5:J11)</f>
        <v>3</v>
      </c>
      <c r="I24" s="11">
        <f ca="1">H24/$I$18</f>
        <v>0.5</v>
      </c>
      <c r="J24" s="7"/>
      <c r="K24" s="1"/>
      <c r="L24" s="1"/>
      <c r="M24" s="15"/>
      <c r="N24" s="19"/>
      <c r="O24" s="20"/>
      <c r="P24" s="17"/>
      <c r="Q24" s="21"/>
      <c r="R24" s="22"/>
      <c r="S24" s="22"/>
      <c r="T24" s="22"/>
      <c r="U24" s="22"/>
      <c r="V24" s="1"/>
      <c r="W24" s="1"/>
      <c r="X24" s="15"/>
      <c r="Y24" s="19"/>
      <c r="Z24" s="20"/>
      <c r="AA24" s="17"/>
      <c r="AB24" s="21"/>
      <c r="AC24" s="22"/>
      <c r="AD24" s="22"/>
      <c r="AE24" s="22"/>
      <c r="AF24" s="22"/>
      <c r="AG24" s="1"/>
      <c r="AH24" s="1"/>
      <c r="AI24" s="15"/>
      <c r="AJ24" s="19"/>
      <c r="AK24" s="20"/>
      <c r="AL24" s="17"/>
      <c r="AM24" s="21"/>
      <c r="AN24" s="22"/>
      <c r="AO24" s="22"/>
      <c r="AP24" s="22"/>
      <c r="AQ24" s="22"/>
      <c r="AR24" s="1"/>
      <c r="AS24" s="1"/>
      <c r="AT24" s="15"/>
      <c r="AU24" s="19"/>
      <c r="AV24" s="20"/>
      <c r="AW24" s="17"/>
      <c r="AX24" s="21"/>
      <c r="AY24" s="22"/>
      <c r="AZ24" s="22"/>
      <c r="BA24" s="22"/>
      <c r="BB24" s="22"/>
      <c r="BC24" s="1"/>
    </row>
    <row r="25" spans="1:55" ht="15.75" thickBot="1" x14ac:dyDescent="0.3">
      <c r="A25" s="1"/>
      <c r="B25" s="1"/>
      <c r="C25" s="1"/>
      <c r="D25" s="1"/>
      <c r="E25" s="1"/>
      <c r="F25" s="1"/>
      <c r="H25" s="12">
        <f ca="1">SUM('Mapping table_1'!G19:J21)</f>
        <v>3</v>
      </c>
      <c r="I25" s="13">
        <f ca="1">H25/$I$18</f>
        <v>0.5</v>
      </c>
      <c r="J25" s="7"/>
      <c r="K25" s="1"/>
      <c r="L25" s="1"/>
      <c r="M25" s="15"/>
      <c r="N25" s="19"/>
      <c r="O25" s="20"/>
      <c r="P25" s="17"/>
      <c r="Q25" s="21"/>
      <c r="R25" s="22"/>
      <c r="S25" s="22"/>
      <c r="T25" s="22"/>
      <c r="U25" s="22"/>
      <c r="V25" s="1"/>
      <c r="W25" s="1"/>
      <c r="X25" s="15"/>
      <c r="Y25" s="19"/>
      <c r="Z25" s="20"/>
      <c r="AA25" s="17"/>
      <c r="AB25" s="21"/>
      <c r="AC25" s="22"/>
      <c r="AD25" s="22"/>
      <c r="AE25" s="22"/>
      <c r="AF25" s="22"/>
      <c r="AG25" s="1"/>
      <c r="AH25" s="1"/>
      <c r="AI25" s="15"/>
      <c r="AJ25" s="19"/>
      <c r="AK25" s="20"/>
      <c r="AL25" s="17"/>
      <c r="AM25" s="21"/>
      <c r="AN25" s="22"/>
      <c r="AO25" s="22"/>
      <c r="AP25" s="22"/>
      <c r="AQ25" s="22"/>
      <c r="AR25" s="1"/>
      <c r="AS25" s="1"/>
      <c r="AT25" s="15"/>
      <c r="AU25" s="19"/>
      <c r="AV25" s="20"/>
      <c r="AW25" s="17"/>
      <c r="AX25" s="21"/>
      <c r="AY25" s="22"/>
      <c r="AZ25" s="22"/>
      <c r="BA25" s="22"/>
      <c r="BB25" s="22"/>
      <c r="BC25" s="1"/>
    </row>
    <row r="26" spans="1:55" x14ac:dyDescent="0.25">
      <c r="A26" s="1"/>
      <c r="B26" s="1"/>
      <c r="C26" s="1"/>
      <c r="D26" s="1"/>
      <c r="E26" s="1"/>
      <c r="F26" s="1"/>
      <c r="G26" s="1"/>
      <c r="H26" s="14">
        <f ca="1">SUM('Mapping table_1'!G23:J23)</f>
        <v>0</v>
      </c>
      <c r="I26" s="7"/>
      <c r="J26" s="7"/>
      <c r="K26" s="1"/>
      <c r="L26" s="1"/>
      <c r="M26" s="15"/>
      <c r="N26" s="19"/>
      <c r="O26" s="20"/>
      <c r="P26" s="17"/>
      <c r="Q26" s="21"/>
      <c r="R26" s="22"/>
      <c r="S26" s="22"/>
      <c r="T26" s="22"/>
      <c r="U26" s="22"/>
      <c r="V26" s="1"/>
      <c r="W26" s="1"/>
      <c r="X26" s="15"/>
      <c r="Y26" s="19"/>
      <c r="Z26" s="20"/>
      <c r="AA26" s="17"/>
      <c r="AB26" s="21"/>
      <c r="AC26" s="22"/>
      <c r="AD26" s="22"/>
      <c r="AE26" s="22"/>
      <c r="AF26" s="22"/>
      <c r="AG26" s="1"/>
      <c r="AH26" s="1"/>
      <c r="AI26" s="15"/>
      <c r="AJ26" s="19"/>
      <c r="AK26" s="20"/>
      <c r="AL26" s="17"/>
      <c r="AM26" s="21"/>
      <c r="AN26" s="22"/>
      <c r="AO26" s="22"/>
      <c r="AP26" s="22"/>
      <c r="AQ26" s="22"/>
      <c r="AR26" s="1"/>
      <c r="AS26" s="1"/>
      <c r="AT26" s="15"/>
      <c r="AU26" s="19"/>
      <c r="AV26" s="20"/>
      <c r="AW26" s="17"/>
      <c r="AX26" s="21"/>
      <c r="AY26" s="22"/>
      <c r="AZ26" s="22"/>
      <c r="BA26" s="22"/>
      <c r="BB26" s="22"/>
      <c r="BC26" s="1"/>
    </row>
    <row r="27" spans="1:55" x14ac:dyDescent="0.25">
      <c r="A27" s="1"/>
      <c r="B27" s="1"/>
      <c r="C27" s="1"/>
      <c r="D27" s="1"/>
      <c r="E27" s="1"/>
      <c r="F27" s="1"/>
      <c r="G27" s="1"/>
      <c r="H27" s="14">
        <f ca="1">SUM('Mapping table_1'!G24:J24)</f>
        <v>4</v>
      </c>
      <c r="I27" s="7"/>
      <c r="J27" s="7"/>
      <c r="K27" s="1"/>
      <c r="L27" s="1"/>
      <c r="M27" s="15"/>
      <c r="N27" s="19"/>
      <c r="O27" s="20"/>
      <c r="P27" s="17"/>
      <c r="Q27" s="21"/>
      <c r="R27" s="22"/>
      <c r="S27" s="22"/>
      <c r="T27" s="22"/>
      <c r="U27" s="22"/>
      <c r="V27" s="1"/>
      <c r="W27" s="1"/>
      <c r="X27" s="15"/>
      <c r="Y27" s="19"/>
      <c r="Z27" s="20"/>
      <c r="AA27" s="17"/>
      <c r="AB27" s="21"/>
      <c r="AC27" s="22"/>
      <c r="AD27" s="22"/>
      <c r="AE27" s="22"/>
      <c r="AF27" s="22"/>
      <c r="AG27" s="1"/>
      <c r="AH27" s="1"/>
      <c r="AI27" s="15"/>
      <c r="AJ27" s="19"/>
      <c r="AK27" s="20"/>
      <c r="AL27" s="17"/>
      <c r="AM27" s="21"/>
      <c r="AN27" s="22"/>
      <c r="AO27" s="22"/>
      <c r="AP27" s="22"/>
      <c r="AQ27" s="22"/>
      <c r="AR27" s="1"/>
      <c r="AS27" s="1"/>
      <c r="AT27" s="15"/>
      <c r="AU27" s="19"/>
      <c r="AV27" s="20"/>
      <c r="AW27" s="17"/>
      <c r="AX27" s="21"/>
      <c r="AY27" s="22"/>
      <c r="AZ27" s="22"/>
      <c r="BA27" s="22"/>
      <c r="BB27" s="22"/>
      <c r="BC27" s="1"/>
    </row>
    <row r="28" spans="1:55" x14ac:dyDescent="0.25">
      <c r="A28" s="1"/>
      <c r="B28" s="1"/>
      <c r="C28" s="1"/>
      <c r="D28" s="1"/>
      <c r="E28" s="1"/>
      <c r="F28" s="1"/>
      <c r="G28" s="1"/>
      <c r="H28" s="14">
        <f ca="1">SUM('Mapping table_1'!G25:J25)</f>
        <v>3</v>
      </c>
      <c r="I28" s="7"/>
      <c r="J28" s="7"/>
      <c r="K28" s="1"/>
      <c r="L28" s="1"/>
      <c r="M28" s="15"/>
      <c r="N28" s="19"/>
      <c r="O28" s="20"/>
      <c r="P28" s="17"/>
      <c r="Q28" s="21"/>
      <c r="R28" s="22"/>
      <c r="S28" s="22"/>
      <c r="T28" s="22"/>
      <c r="U28" s="22"/>
      <c r="V28" s="1"/>
      <c r="W28" s="1"/>
      <c r="X28" s="15"/>
      <c r="Y28" s="19"/>
      <c r="Z28" s="20"/>
      <c r="AA28" s="17"/>
      <c r="AB28" s="21"/>
      <c r="AC28" s="22"/>
      <c r="AD28" s="22"/>
      <c r="AE28" s="22"/>
      <c r="AF28" s="22"/>
      <c r="AG28" s="1"/>
      <c r="AH28" s="1"/>
      <c r="AI28" s="15"/>
      <c r="AJ28" s="19"/>
      <c r="AK28" s="20"/>
      <c r="AL28" s="17"/>
      <c r="AM28" s="21"/>
      <c r="AN28" s="22"/>
      <c r="AO28" s="22"/>
      <c r="AP28" s="22"/>
      <c r="AQ28" s="22"/>
      <c r="AR28" s="1"/>
      <c r="AS28" s="1"/>
      <c r="AT28" s="15"/>
      <c r="AU28" s="19"/>
      <c r="AV28" s="20"/>
      <c r="AW28" s="17"/>
      <c r="AX28" s="21"/>
      <c r="AY28" s="22"/>
      <c r="AZ28" s="22"/>
      <c r="BA28" s="22"/>
      <c r="BB28" s="22"/>
      <c r="BC28" s="1"/>
    </row>
    <row r="29" spans="1:55" x14ac:dyDescent="0.25">
      <c r="A29" s="1"/>
      <c r="B29" s="1"/>
      <c r="C29" s="1"/>
      <c r="D29" s="1"/>
      <c r="E29" s="1"/>
      <c r="F29" s="1"/>
      <c r="G29" s="1"/>
      <c r="H29" s="14">
        <f ca="1">SUM('Mapping table_1'!G26:J26)</f>
        <v>3</v>
      </c>
      <c r="I29" s="7"/>
      <c r="J29" s="7"/>
      <c r="K29" s="1"/>
      <c r="L29" s="1"/>
      <c r="M29" s="15"/>
      <c r="N29" s="19"/>
      <c r="O29" s="20"/>
      <c r="P29" s="17"/>
      <c r="Q29" s="21"/>
      <c r="R29" s="22"/>
      <c r="S29" s="22"/>
      <c r="T29" s="22"/>
      <c r="U29" s="22"/>
      <c r="V29" s="1"/>
      <c r="W29" s="1"/>
      <c r="X29" s="15"/>
      <c r="Y29" s="19"/>
      <c r="Z29" s="20"/>
      <c r="AA29" s="17"/>
      <c r="AB29" s="21"/>
      <c r="AC29" s="22"/>
      <c r="AD29" s="22"/>
      <c r="AE29" s="22"/>
      <c r="AF29" s="22"/>
      <c r="AG29" s="1"/>
      <c r="AH29" s="1"/>
      <c r="AI29" s="15"/>
      <c r="AJ29" s="19"/>
      <c r="AK29" s="20"/>
      <c r="AL29" s="17"/>
      <c r="AM29" s="21"/>
      <c r="AN29" s="22"/>
      <c r="AO29" s="22"/>
      <c r="AP29" s="22"/>
      <c r="AQ29" s="22"/>
      <c r="AR29" s="1"/>
      <c r="AS29" s="1"/>
      <c r="AT29" s="15"/>
      <c r="AU29" s="19"/>
      <c r="AV29" s="20"/>
      <c r="AW29" s="17"/>
      <c r="AX29" s="21"/>
      <c r="AY29" s="22"/>
      <c r="AZ29" s="22"/>
      <c r="BA29" s="22"/>
      <c r="BB29" s="22"/>
      <c r="BC29" s="1"/>
    </row>
    <row r="30" spans="1:55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5"/>
      <c r="N30" s="19"/>
      <c r="O30" s="20"/>
      <c r="P30" s="17"/>
      <c r="Q30" s="21"/>
      <c r="R30" s="22"/>
      <c r="S30" s="22"/>
      <c r="T30" s="22"/>
      <c r="U30" s="22"/>
      <c r="V30" s="1"/>
      <c r="W30" s="1"/>
      <c r="X30" s="15"/>
      <c r="Y30" s="19"/>
      <c r="Z30" s="20"/>
      <c r="AA30" s="17"/>
      <c r="AB30" s="21"/>
      <c r="AC30" s="22"/>
      <c r="AD30" s="22"/>
      <c r="AE30" s="22"/>
      <c r="AF30" s="22"/>
      <c r="AG30" s="1"/>
      <c r="AH30" s="1"/>
      <c r="AI30" s="15"/>
      <c r="AJ30" s="19"/>
      <c r="AK30" s="20"/>
      <c r="AL30" s="17"/>
      <c r="AM30" s="21"/>
      <c r="AN30" s="22"/>
      <c r="AO30" s="22"/>
      <c r="AP30" s="22"/>
      <c r="AQ30" s="22"/>
      <c r="AR30" s="1"/>
      <c r="AS30" s="1"/>
      <c r="AT30" s="15"/>
      <c r="AU30" s="19"/>
      <c r="AV30" s="20"/>
      <c r="AW30" s="17"/>
      <c r="AX30" s="21"/>
      <c r="AY30" s="22"/>
      <c r="AZ30" s="22"/>
      <c r="BA30" s="22"/>
      <c r="BB30" s="22"/>
      <c r="BC30" s="1"/>
    </row>
    <row r="31" spans="1:55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5"/>
      <c r="N31" s="19"/>
      <c r="O31" s="20"/>
      <c r="P31" s="17"/>
      <c r="Q31" s="21"/>
      <c r="R31" s="22"/>
      <c r="S31" s="22"/>
      <c r="T31" s="22"/>
      <c r="U31" s="22"/>
      <c r="V31" s="1"/>
      <c r="W31" s="1"/>
      <c r="X31" s="15"/>
      <c r="Y31" s="19"/>
      <c r="Z31" s="20"/>
      <c r="AA31" s="17"/>
      <c r="AB31" s="21"/>
      <c r="AC31" s="22"/>
      <c r="AD31" s="22"/>
      <c r="AE31" s="22"/>
      <c r="AF31" s="22"/>
      <c r="AG31" s="1"/>
      <c r="AH31" s="1"/>
      <c r="AI31" s="15"/>
      <c r="AJ31" s="19"/>
      <c r="AK31" s="20"/>
      <c r="AL31" s="17"/>
      <c r="AM31" s="21"/>
      <c r="AN31" s="22"/>
      <c r="AO31" s="22"/>
      <c r="AP31" s="22"/>
      <c r="AQ31" s="22"/>
      <c r="AR31" s="1"/>
      <c r="AS31" s="1"/>
      <c r="AT31" s="15"/>
      <c r="AU31" s="19"/>
      <c r="AV31" s="20"/>
      <c r="AW31" s="17"/>
      <c r="AX31" s="21"/>
      <c r="AY31" s="22"/>
      <c r="AZ31" s="22"/>
      <c r="BA31" s="22"/>
      <c r="BB31" s="22"/>
      <c r="BC31" s="1"/>
    </row>
    <row r="32" spans="1:55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5"/>
      <c r="N32" s="19"/>
      <c r="O32" s="20"/>
      <c r="P32" s="17"/>
      <c r="Q32" s="21"/>
      <c r="R32" s="22"/>
      <c r="S32" s="22"/>
      <c r="T32" s="22"/>
      <c r="U32" s="22"/>
      <c r="V32" s="1"/>
      <c r="W32" s="1"/>
      <c r="X32" s="15"/>
      <c r="Y32" s="19"/>
      <c r="Z32" s="20"/>
      <c r="AA32" s="17"/>
      <c r="AB32" s="21"/>
      <c r="AC32" s="22"/>
      <c r="AD32" s="22"/>
      <c r="AE32" s="22"/>
      <c r="AF32" s="22"/>
      <c r="AG32" s="1"/>
      <c r="AH32" s="1"/>
      <c r="AI32" s="15"/>
      <c r="AJ32" s="19"/>
      <c r="AK32" s="20"/>
      <c r="AL32" s="17"/>
      <c r="AM32" s="21"/>
      <c r="AN32" s="22"/>
      <c r="AO32" s="22"/>
      <c r="AP32" s="22"/>
      <c r="AQ32" s="22"/>
      <c r="AR32" s="1"/>
      <c r="AS32" s="1"/>
      <c r="AT32" s="15"/>
      <c r="AU32" s="19"/>
      <c r="AV32" s="20"/>
      <c r="AW32" s="17"/>
      <c r="AX32" s="21"/>
      <c r="AY32" s="22"/>
      <c r="AZ32" s="22"/>
      <c r="BA32" s="22"/>
      <c r="BB32" s="22"/>
      <c r="BC32" s="1"/>
    </row>
    <row r="33" spans="1:55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5"/>
      <c r="N33" s="19"/>
      <c r="O33" s="20"/>
      <c r="P33" s="17"/>
      <c r="Q33" s="21"/>
      <c r="R33" s="22"/>
      <c r="S33" s="22"/>
      <c r="T33" s="22"/>
      <c r="U33" s="22"/>
      <c r="V33" s="1"/>
      <c r="W33" s="1"/>
      <c r="X33" s="15"/>
      <c r="Y33" s="19"/>
      <c r="Z33" s="20"/>
      <c r="AA33" s="17"/>
      <c r="AB33" s="21"/>
      <c r="AC33" s="22"/>
      <c r="AD33" s="22"/>
      <c r="AE33" s="22"/>
      <c r="AF33" s="22"/>
      <c r="AG33" s="1"/>
      <c r="AH33" s="1"/>
      <c r="AI33" s="15"/>
      <c r="AJ33" s="19"/>
      <c r="AK33" s="20"/>
      <c r="AL33" s="17"/>
      <c r="AM33" s="21"/>
      <c r="AN33" s="22"/>
      <c r="AO33" s="22"/>
      <c r="AP33" s="22"/>
      <c r="AQ33" s="22"/>
      <c r="AR33" s="1"/>
      <c r="AS33" s="1"/>
      <c r="AT33" s="15"/>
      <c r="AU33" s="19"/>
      <c r="AV33" s="20"/>
      <c r="AW33" s="17"/>
      <c r="AX33" s="21"/>
      <c r="AY33" s="22"/>
      <c r="AZ33" s="22"/>
      <c r="BA33" s="22"/>
      <c r="BB33" s="22"/>
      <c r="BC33" s="1"/>
    </row>
    <row r="34" spans="1:55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5"/>
      <c r="N34" s="19"/>
      <c r="O34" s="20"/>
      <c r="P34" s="17"/>
      <c r="Q34" s="21"/>
      <c r="R34" s="22"/>
      <c r="S34" s="22"/>
      <c r="T34" s="22"/>
      <c r="U34" s="22"/>
      <c r="V34" s="1"/>
      <c r="W34" s="1"/>
      <c r="X34" s="15"/>
      <c r="Y34" s="19"/>
      <c r="Z34" s="20"/>
      <c r="AA34" s="17"/>
      <c r="AB34" s="21"/>
      <c r="AC34" s="22"/>
      <c r="AD34" s="22"/>
      <c r="AE34" s="22"/>
      <c r="AF34" s="22"/>
      <c r="AG34" s="1"/>
      <c r="AH34" s="1"/>
      <c r="AI34" s="15"/>
      <c r="AJ34" s="19"/>
      <c r="AK34" s="20"/>
      <c r="AL34" s="17"/>
      <c r="AM34" s="21"/>
      <c r="AN34" s="22"/>
      <c r="AO34" s="22"/>
      <c r="AP34" s="22"/>
      <c r="AQ34" s="22"/>
      <c r="AR34" s="1"/>
      <c r="AS34" s="1"/>
      <c r="AT34" s="15"/>
      <c r="AU34" s="19"/>
      <c r="AV34" s="20"/>
      <c r="AW34" s="17"/>
      <c r="AX34" s="21"/>
      <c r="AY34" s="22"/>
      <c r="AZ34" s="22"/>
      <c r="BA34" s="22"/>
      <c r="BB34" s="22"/>
      <c r="BC34" s="1"/>
    </row>
    <row r="35" spans="1:55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5"/>
      <c r="N35" s="19"/>
      <c r="O35" s="20"/>
      <c r="P35" s="17"/>
      <c r="Q35" s="21"/>
      <c r="R35" s="22"/>
      <c r="S35" s="22"/>
      <c r="T35" s="22"/>
      <c r="U35" s="22"/>
      <c r="V35" s="1"/>
      <c r="W35" s="1"/>
      <c r="X35" s="15"/>
      <c r="Y35" s="19"/>
      <c r="Z35" s="20"/>
      <c r="AA35" s="17"/>
      <c r="AB35" s="21"/>
      <c r="AC35" s="22"/>
      <c r="AD35" s="22"/>
      <c r="AE35" s="22"/>
      <c r="AF35" s="22"/>
      <c r="AG35" s="1"/>
      <c r="AH35" s="1"/>
      <c r="AI35" s="15"/>
      <c r="AJ35" s="19"/>
      <c r="AK35" s="20"/>
      <c r="AL35" s="17"/>
      <c r="AM35" s="21"/>
      <c r="AN35" s="22"/>
      <c r="AO35" s="22"/>
      <c r="AP35" s="22"/>
      <c r="AQ35" s="22"/>
      <c r="AR35" s="1"/>
      <c r="AS35" s="1"/>
      <c r="AT35" s="15"/>
      <c r="AU35" s="19"/>
      <c r="AV35" s="20"/>
      <c r="AW35" s="17"/>
      <c r="AX35" s="21"/>
      <c r="AY35" s="22"/>
      <c r="AZ35" s="22"/>
      <c r="BA35" s="22"/>
      <c r="BB35" s="22"/>
      <c r="BC35" s="1"/>
    </row>
    <row r="36" spans="1:55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5"/>
      <c r="N36" s="19"/>
      <c r="O36" s="20"/>
      <c r="P36" s="17"/>
      <c r="Q36" s="21"/>
      <c r="R36" s="22"/>
      <c r="S36" s="22"/>
      <c r="T36" s="22"/>
      <c r="U36" s="22"/>
      <c r="V36" s="1"/>
      <c r="W36" s="1"/>
      <c r="X36" s="15"/>
      <c r="Y36" s="19"/>
      <c r="Z36" s="20"/>
      <c r="AA36" s="17"/>
      <c r="AB36" s="21"/>
      <c r="AC36" s="22"/>
      <c r="AD36" s="22"/>
      <c r="AE36" s="22"/>
      <c r="AF36" s="22"/>
      <c r="AG36" s="1"/>
      <c r="AH36" s="1"/>
      <c r="AI36" s="15"/>
      <c r="AJ36" s="19"/>
      <c r="AK36" s="20"/>
      <c r="AL36" s="17"/>
      <c r="AM36" s="21"/>
      <c r="AN36" s="22"/>
      <c r="AO36" s="22"/>
      <c r="AP36" s="22"/>
      <c r="AQ36" s="22"/>
      <c r="AR36" s="1"/>
      <c r="AS36" s="1"/>
      <c r="AT36" s="15"/>
      <c r="AU36" s="19"/>
      <c r="AV36" s="20"/>
      <c r="AW36" s="17"/>
      <c r="AX36" s="21"/>
      <c r="AY36" s="22"/>
      <c r="AZ36" s="22"/>
      <c r="BA36" s="22"/>
      <c r="BB36" s="22"/>
      <c r="BC36" s="1"/>
    </row>
    <row r="37" spans="1:55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5"/>
      <c r="N37" s="19"/>
      <c r="O37" s="20"/>
      <c r="P37" s="17"/>
      <c r="Q37" s="21"/>
      <c r="R37" s="22"/>
      <c r="S37" s="22"/>
      <c r="T37" s="22"/>
      <c r="U37" s="22"/>
      <c r="V37" s="1"/>
      <c r="W37" s="1"/>
      <c r="X37" s="15"/>
      <c r="Y37" s="19"/>
      <c r="Z37" s="20"/>
      <c r="AA37" s="17"/>
      <c r="AB37" s="21"/>
      <c r="AC37" s="22"/>
      <c r="AD37" s="22"/>
      <c r="AE37" s="22"/>
      <c r="AF37" s="22"/>
      <c r="AG37" s="1"/>
      <c r="AH37" s="1"/>
      <c r="AI37" s="15"/>
      <c r="AJ37" s="19"/>
      <c r="AK37" s="20"/>
      <c r="AL37" s="17"/>
      <c r="AM37" s="21"/>
      <c r="AN37" s="22"/>
      <c r="AO37" s="22"/>
      <c r="AP37" s="22"/>
      <c r="AQ37" s="22"/>
      <c r="AR37" s="1"/>
      <c r="AS37" s="1"/>
      <c r="AT37" s="15"/>
      <c r="AU37" s="19"/>
      <c r="AV37" s="20"/>
      <c r="AW37" s="17"/>
      <c r="AX37" s="21"/>
      <c r="AY37" s="22"/>
      <c r="AZ37" s="22"/>
      <c r="BA37" s="22"/>
      <c r="BB37" s="22"/>
      <c r="BC37" s="1"/>
    </row>
    <row r="38" spans="1:55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5"/>
      <c r="N38" s="19"/>
      <c r="O38" s="20"/>
      <c r="P38" s="17"/>
      <c r="Q38" s="21"/>
      <c r="R38" s="22"/>
      <c r="S38" s="22"/>
      <c r="T38" s="22"/>
      <c r="U38" s="22"/>
      <c r="V38" s="1"/>
      <c r="W38" s="1"/>
      <c r="X38" s="15"/>
      <c r="Y38" s="19"/>
      <c r="Z38" s="20"/>
      <c r="AA38" s="17"/>
      <c r="AB38" s="21"/>
      <c r="AC38" s="22"/>
      <c r="AD38" s="22"/>
      <c r="AE38" s="22"/>
      <c r="AF38" s="22"/>
      <c r="AG38" s="1"/>
      <c r="AH38" s="1"/>
      <c r="AI38" s="15"/>
      <c r="AJ38" s="19"/>
      <c r="AK38" s="20"/>
      <c r="AL38" s="17"/>
      <c r="AM38" s="21"/>
      <c r="AN38" s="22"/>
      <c r="AO38" s="22"/>
      <c r="AP38" s="22"/>
      <c r="AQ38" s="22"/>
      <c r="AR38" s="1"/>
      <c r="AS38" s="1"/>
      <c r="AT38" s="15"/>
      <c r="AU38" s="19"/>
      <c r="AV38" s="20"/>
      <c r="AW38" s="17"/>
      <c r="AX38" s="21"/>
      <c r="AY38" s="22"/>
      <c r="AZ38" s="22"/>
      <c r="BA38" s="22"/>
      <c r="BB38" s="22"/>
      <c r="BC38" s="1"/>
    </row>
    <row r="39" spans="1:55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5"/>
      <c r="N39" s="19"/>
      <c r="O39" s="20"/>
      <c r="P39" s="17"/>
      <c r="Q39" s="21"/>
      <c r="R39" s="22"/>
      <c r="S39" s="22"/>
      <c r="T39" s="22"/>
      <c r="U39" s="22"/>
      <c r="V39" s="1"/>
      <c r="W39" s="1"/>
      <c r="X39" s="15"/>
      <c r="Y39" s="19"/>
      <c r="Z39" s="20"/>
      <c r="AA39" s="17"/>
      <c r="AB39" s="21"/>
      <c r="AC39" s="22"/>
      <c r="AD39" s="22"/>
      <c r="AE39" s="22"/>
      <c r="AF39" s="22"/>
      <c r="AG39" s="1"/>
      <c r="AH39" s="1"/>
      <c r="AI39" s="15"/>
      <c r="AJ39" s="19"/>
      <c r="AK39" s="20"/>
      <c r="AL39" s="17"/>
      <c r="AM39" s="21"/>
      <c r="AN39" s="22"/>
      <c r="AO39" s="22"/>
      <c r="AP39" s="22"/>
      <c r="AQ39" s="22"/>
      <c r="AR39" s="1"/>
      <c r="AS39" s="1"/>
      <c r="AT39" s="15"/>
      <c r="AU39" s="19"/>
      <c r="AV39" s="20"/>
      <c r="AW39" s="17"/>
      <c r="AX39" s="21"/>
      <c r="AY39" s="22"/>
      <c r="AZ39" s="22"/>
      <c r="BA39" s="22"/>
      <c r="BB39" s="22"/>
      <c r="BC39" s="1"/>
    </row>
    <row r="40" spans="1:55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5"/>
      <c r="N40" s="19"/>
      <c r="O40" s="20"/>
      <c r="P40" s="17"/>
      <c r="Q40" s="21"/>
      <c r="R40" s="22"/>
      <c r="S40" s="22"/>
      <c r="T40" s="22"/>
      <c r="U40" s="22"/>
      <c r="V40" s="1"/>
      <c r="W40" s="1"/>
      <c r="X40" s="15"/>
      <c r="Y40" s="19"/>
      <c r="Z40" s="20"/>
      <c r="AA40" s="17"/>
      <c r="AB40" s="21"/>
      <c r="AC40" s="22"/>
      <c r="AD40" s="22"/>
      <c r="AE40" s="22"/>
      <c r="AF40" s="22"/>
      <c r="AG40" s="1"/>
      <c r="AH40" s="1"/>
      <c r="AI40" s="15"/>
      <c r="AJ40" s="19"/>
      <c r="AK40" s="20"/>
      <c r="AL40" s="17"/>
      <c r="AM40" s="21"/>
      <c r="AN40" s="22"/>
      <c r="AO40" s="22"/>
      <c r="AP40" s="22"/>
      <c r="AQ40" s="22"/>
      <c r="AR40" s="1"/>
      <c r="AS40" s="1"/>
      <c r="AT40" s="15"/>
      <c r="AU40" s="19"/>
      <c r="AV40" s="20"/>
      <c r="AW40" s="17"/>
      <c r="AX40" s="21"/>
      <c r="AY40" s="22"/>
      <c r="AZ40" s="22"/>
      <c r="BA40" s="22"/>
      <c r="BB40" s="22"/>
      <c r="BC40" s="1"/>
    </row>
    <row r="41" spans="1:55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5"/>
      <c r="N41" s="19"/>
      <c r="O41" s="20"/>
      <c r="P41" s="17"/>
      <c r="Q41" s="21"/>
      <c r="R41" s="22"/>
      <c r="S41" s="22"/>
      <c r="T41" s="22"/>
      <c r="U41" s="22"/>
      <c r="V41" s="1"/>
      <c r="W41" s="1"/>
      <c r="X41" s="15"/>
      <c r="Y41" s="19"/>
      <c r="Z41" s="20"/>
      <c r="AA41" s="17"/>
      <c r="AB41" s="21"/>
      <c r="AC41" s="22"/>
      <c r="AD41" s="22"/>
      <c r="AE41" s="22"/>
      <c r="AF41" s="22"/>
      <c r="AG41" s="1"/>
      <c r="AH41" s="1"/>
      <c r="AI41" s="15"/>
      <c r="AJ41" s="19"/>
      <c r="AK41" s="20"/>
      <c r="AL41" s="17"/>
      <c r="AM41" s="21"/>
      <c r="AN41" s="22"/>
      <c r="AO41" s="22"/>
      <c r="AP41" s="22"/>
      <c r="AQ41" s="22"/>
      <c r="AR41" s="1"/>
      <c r="AS41" s="1"/>
      <c r="AT41" s="15"/>
      <c r="AU41" s="19"/>
      <c r="AV41" s="20"/>
      <c r="AW41" s="17"/>
      <c r="AX41" s="21"/>
      <c r="AY41" s="22"/>
      <c r="AZ41" s="22"/>
      <c r="BA41" s="22"/>
      <c r="BB41" s="22"/>
      <c r="BC41" s="1"/>
    </row>
    <row r="42" spans="1:55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5"/>
      <c r="N42" s="19"/>
      <c r="O42" s="20"/>
      <c r="P42" s="17"/>
      <c r="Q42" s="21"/>
      <c r="R42" s="22"/>
      <c r="S42" s="22"/>
      <c r="T42" s="22"/>
      <c r="U42" s="22"/>
      <c r="V42" s="1"/>
      <c r="W42" s="1"/>
      <c r="X42" s="15"/>
      <c r="Y42" s="19"/>
      <c r="Z42" s="20"/>
      <c r="AA42" s="17"/>
      <c r="AB42" s="21"/>
      <c r="AC42" s="22"/>
      <c r="AD42" s="22"/>
      <c r="AE42" s="22"/>
      <c r="AF42" s="22"/>
      <c r="AG42" s="1"/>
      <c r="AH42" s="1"/>
      <c r="AI42" s="15"/>
      <c r="AJ42" s="19"/>
      <c r="AK42" s="20"/>
      <c r="AL42" s="17"/>
      <c r="AM42" s="21"/>
      <c r="AN42" s="22"/>
      <c r="AO42" s="22"/>
      <c r="AP42" s="22"/>
      <c r="AQ42" s="22"/>
      <c r="AR42" s="1"/>
      <c r="AS42" s="1"/>
      <c r="AT42" s="15"/>
      <c r="AU42" s="19"/>
      <c r="AV42" s="20"/>
      <c r="AW42" s="17"/>
      <c r="AX42" s="21"/>
      <c r="AY42" s="22"/>
      <c r="AZ42" s="22"/>
      <c r="BA42" s="22"/>
      <c r="BB42" s="22"/>
      <c r="BC42" s="1"/>
    </row>
    <row r="43" spans="1:55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5"/>
      <c r="N43" s="19"/>
      <c r="O43" s="20"/>
      <c r="P43" s="17"/>
      <c r="Q43" s="21"/>
      <c r="R43" s="22"/>
      <c r="S43" s="22"/>
      <c r="T43" s="22"/>
      <c r="U43" s="22"/>
      <c r="V43" s="1"/>
      <c r="W43" s="1"/>
      <c r="X43" s="15"/>
      <c r="Y43" s="19"/>
      <c r="Z43" s="20"/>
      <c r="AA43" s="17"/>
      <c r="AB43" s="21"/>
      <c r="AC43" s="22"/>
      <c r="AD43" s="22"/>
      <c r="AE43" s="22"/>
      <c r="AF43" s="22"/>
      <c r="AG43" s="1"/>
      <c r="AH43" s="1"/>
      <c r="AI43" s="15"/>
      <c r="AJ43" s="19"/>
      <c r="AK43" s="20"/>
      <c r="AL43" s="17"/>
      <c r="AM43" s="21"/>
      <c r="AN43" s="22"/>
      <c r="AO43" s="22"/>
      <c r="AP43" s="22"/>
      <c r="AQ43" s="22"/>
      <c r="AR43" s="1"/>
      <c r="AS43" s="1"/>
      <c r="AT43" s="15"/>
      <c r="AU43" s="19"/>
      <c r="AV43" s="20"/>
      <c r="AW43" s="17"/>
      <c r="AX43" s="21"/>
      <c r="AY43" s="22"/>
      <c r="AZ43" s="22"/>
      <c r="BA43" s="22"/>
      <c r="BB43" s="22"/>
      <c r="BC43" s="1"/>
    </row>
    <row r="44" spans="1:55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5"/>
      <c r="N44" s="19"/>
      <c r="O44" s="20"/>
      <c r="P44" s="17"/>
      <c r="Q44" s="21"/>
      <c r="R44" s="22"/>
      <c r="S44" s="22"/>
      <c r="T44" s="22"/>
      <c r="U44" s="22"/>
      <c r="V44" s="1"/>
      <c r="W44" s="1"/>
      <c r="X44" s="15"/>
      <c r="Y44" s="19"/>
      <c r="Z44" s="20"/>
      <c r="AA44" s="17"/>
      <c r="AB44" s="21"/>
      <c r="AC44" s="22"/>
      <c r="AD44" s="22"/>
      <c r="AE44" s="22"/>
      <c r="AF44" s="22"/>
      <c r="AG44" s="1"/>
      <c r="AH44" s="1"/>
      <c r="AI44" s="15"/>
      <c r="AJ44" s="19"/>
      <c r="AK44" s="20"/>
      <c r="AL44" s="17"/>
      <c r="AM44" s="21"/>
      <c r="AN44" s="22"/>
      <c r="AO44" s="22"/>
      <c r="AP44" s="22"/>
      <c r="AQ44" s="22"/>
      <c r="AR44" s="1"/>
      <c r="AS44" s="1"/>
      <c r="AT44" s="15"/>
      <c r="AU44" s="19"/>
      <c r="AV44" s="20"/>
      <c r="AW44" s="17"/>
      <c r="AX44" s="21"/>
      <c r="AY44" s="22"/>
      <c r="AZ44" s="22"/>
      <c r="BA44" s="22"/>
      <c r="BB44" s="22"/>
      <c r="BC44" s="1"/>
    </row>
    <row r="45" spans="1:55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5"/>
      <c r="N45" s="19"/>
      <c r="O45" s="20"/>
      <c r="P45" s="17"/>
      <c r="Q45" s="21"/>
      <c r="R45" s="22"/>
      <c r="S45" s="22"/>
      <c r="T45" s="22"/>
      <c r="U45" s="22"/>
      <c r="V45" s="1"/>
      <c r="W45" s="1"/>
      <c r="X45" s="15"/>
      <c r="Y45" s="19"/>
      <c r="Z45" s="20"/>
      <c r="AA45" s="17"/>
      <c r="AB45" s="21"/>
      <c r="AC45" s="22"/>
      <c r="AD45" s="22"/>
      <c r="AE45" s="22"/>
      <c r="AF45" s="22"/>
      <c r="AG45" s="1"/>
      <c r="AH45" s="1"/>
      <c r="AI45" s="15"/>
      <c r="AJ45" s="19"/>
      <c r="AK45" s="20"/>
      <c r="AL45" s="17"/>
      <c r="AM45" s="21"/>
      <c r="AN45" s="22"/>
      <c r="AO45" s="22"/>
      <c r="AP45" s="22"/>
      <c r="AQ45" s="22"/>
      <c r="AR45" s="1"/>
      <c r="AS45" s="1"/>
      <c r="AT45" s="15"/>
      <c r="AU45" s="19"/>
      <c r="AV45" s="20"/>
      <c r="AW45" s="17"/>
      <c r="AX45" s="21"/>
      <c r="AY45" s="22"/>
      <c r="AZ45" s="22"/>
      <c r="BA45" s="22"/>
      <c r="BB45" s="22"/>
      <c r="BC45" s="1"/>
    </row>
    <row r="46" spans="1:55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5"/>
      <c r="N46" s="19"/>
      <c r="O46" s="20"/>
      <c r="P46" s="17"/>
      <c r="Q46" s="21"/>
      <c r="R46" s="22"/>
      <c r="S46" s="22"/>
      <c r="T46" s="22"/>
      <c r="U46" s="22"/>
      <c r="V46" s="1"/>
      <c r="W46" s="1"/>
      <c r="X46" s="15"/>
      <c r="Y46" s="19"/>
      <c r="Z46" s="20"/>
      <c r="AA46" s="17"/>
      <c r="AB46" s="21"/>
      <c r="AC46" s="22"/>
      <c r="AD46" s="22"/>
      <c r="AE46" s="22"/>
      <c r="AF46" s="22"/>
      <c r="AG46" s="1"/>
      <c r="AH46" s="1"/>
      <c r="AI46" s="15"/>
      <c r="AJ46" s="19"/>
      <c r="AK46" s="20"/>
      <c r="AL46" s="17"/>
      <c r="AM46" s="21"/>
      <c r="AN46" s="22"/>
      <c r="AO46" s="22"/>
      <c r="AP46" s="22"/>
      <c r="AQ46" s="22"/>
      <c r="AR46" s="1"/>
      <c r="AS46" s="1"/>
      <c r="AT46" s="15"/>
      <c r="AU46" s="19"/>
      <c r="AV46" s="20"/>
      <c r="AW46" s="17"/>
      <c r="AX46" s="21"/>
      <c r="AY46" s="22"/>
      <c r="AZ46" s="22"/>
      <c r="BA46" s="22"/>
      <c r="BB46" s="22"/>
      <c r="BC46" s="1"/>
    </row>
    <row r="47" spans="1:55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5"/>
      <c r="N47" s="19"/>
      <c r="O47" s="20"/>
      <c r="P47" s="17"/>
      <c r="Q47" s="21"/>
      <c r="R47" s="22"/>
      <c r="S47" s="22"/>
      <c r="T47" s="22"/>
      <c r="U47" s="22"/>
      <c r="V47" s="1"/>
      <c r="W47" s="1"/>
      <c r="X47" s="15"/>
      <c r="Y47" s="19"/>
      <c r="Z47" s="20"/>
      <c r="AA47" s="17"/>
      <c r="AB47" s="21"/>
      <c r="AC47" s="22"/>
      <c r="AD47" s="22"/>
      <c r="AE47" s="22"/>
      <c r="AF47" s="22"/>
      <c r="AG47" s="1"/>
      <c r="AH47" s="1"/>
      <c r="AI47" s="15"/>
      <c r="AJ47" s="19"/>
      <c r="AK47" s="20"/>
      <c r="AL47" s="17"/>
      <c r="AM47" s="21"/>
      <c r="AN47" s="22"/>
      <c r="AO47" s="22"/>
      <c r="AP47" s="22"/>
      <c r="AQ47" s="22"/>
      <c r="AR47" s="1"/>
      <c r="AS47" s="1"/>
      <c r="AT47" s="15"/>
      <c r="AU47" s="19"/>
      <c r="AV47" s="20"/>
      <c r="AW47" s="17"/>
      <c r="AX47" s="21"/>
      <c r="AY47" s="22"/>
      <c r="AZ47" s="22"/>
      <c r="BA47" s="22"/>
      <c r="BB47" s="22"/>
      <c r="BC47" s="1"/>
    </row>
    <row r="48" spans="1:55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5"/>
      <c r="N48" s="19"/>
      <c r="O48" s="20"/>
      <c r="P48" s="17"/>
      <c r="Q48" s="21"/>
      <c r="R48" s="22"/>
      <c r="S48" s="22"/>
      <c r="T48" s="22"/>
      <c r="U48" s="22"/>
      <c r="V48" s="1"/>
      <c r="W48" s="1"/>
      <c r="X48" s="15"/>
      <c r="Y48" s="19"/>
      <c r="Z48" s="20"/>
      <c r="AA48" s="17"/>
      <c r="AB48" s="21"/>
      <c r="AC48" s="22"/>
      <c r="AD48" s="22"/>
      <c r="AE48" s="22"/>
      <c r="AF48" s="22"/>
      <c r="AG48" s="1"/>
      <c r="AH48" s="1"/>
      <c r="AI48" s="15"/>
      <c r="AJ48" s="19"/>
      <c r="AK48" s="20"/>
      <c r="AL48" s="17"/>
      <c r="AM48" s="21"/>
      <c r="AN48" s="22"/>
      <c r="AO48" s="22"/>
      <c r="AP48" s="22"/>
      <c r="AQ48" s="22"/>
      <c r="AR48" s="1"/>
      <c r="AS48" s="1"/>
      <c r="AT48" s="15"/>
      <c r="AU48" s="19"/>
      <c r="AV48" s="20"/>
      <c r="AW48" s="17"/>
      <c r="AX48" s="21"/>
      <c r="AY48" s="22"/>
      <c r="AZ48" s="22"/>
      <c r="BA48" s="22"/>
      <c r="BB48" s="22"/>
      <c r="BC48" s="1"/>
    </row>
    <row r="49" spans="1:55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5"/>
      <c r="N49" s="19"/>
      <c r="O49" s="20"/>
      <c r="P49" s="17"/>
      <c r="Q49" s="21"/>
      <c r="R49" s="22"/>
      <c r="S49" s="22"/>
      <c r="T49" s="22"/>
      <c r="U49" s="22"/>
      <c r="V49" s="1"/>
      <c r="W49" s="1"/>
      <c r="X49" s="15"/>
      <c r="Y49" s="19"/>
      <c r="Z49" s="20"/>
      <c r="AA49" s="17"/>
      <c r="AB49" s="21"/>
      <c r="AC49" s="22"/>
      <c r="AD49" s="22"/>
      <c r="AE49" s="22"/>
      <c r="AF49" s="22"/>
      <c r="AG49" s="1"/>
      <c r="AH49" s="1"/>
      <c r="AI49" s="15"/>
      <c r="AJ49" s="19"/>
      <c r="AK49" s="20"/>
      <c r="AL49" s="17"/>
      <c r="AM49" s="21"/>
      <c r="AN49" s="22"/>
      <c r="AO49" s="22"/>
      <c r="AP49" s="22"/>
      <c r="AQ49" s="22"/>
      <c r="AR49" s="1"/>
      <c r="AS49" s="1"/>
      <c r="AT49" s="15"/>
      <c r="AU49" s="19"/>
      <c r="AV49" s="20"/>
      <c r="AW49" s="17"/>
      <c r="AX49" s="21"/>
      <c r="AY49" s="22"/>
      <c r="AZ49" s="22"/>
      <c r="BA49" s="22"/>
      <c r="BB49" s="22"/>
      <c r="BC49" s="1"/>
    </row>
    <row r="50" spans="1:55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5"/>
      <c r="N50" s="19"/>
      <c r="O50" s="20"/>
      <c r="P50" s="17"/>
      <c r="Q50" s="21"/>
      <c r="R50" s="22"/>
      <c r="S50" s="22"/>
      <c r="T50" s="22"/>
      <c r="U50" s="22"/>
      <c r="V50" s="1"/>
      <c r="W50" s="1"/>
      <c r="X50" s="15"/>
      <c r="Y50" s="19"/>
      <c r="Z50" s="20"/>
      <c r="AA50" s="17"/>
      <c r="AB50" s="21"/>
      <c r="AC50" s="22"/>
      <c r="AD50" s="22"/>
      <c r="AE50" s="22"/>
      <c r="AF50" s="22"/>
      <c r="AG50" s="1"/>
      <c r="AH50" s="1"/>
      <c r="AI50" s="15"/>
      <c r="AJ50" s="19"/>
      <c r="AK50" s="20"/>
      <c r="AL50" s="17"/>
      <c r="AM50" s="21"/>
      <c r="AN50" s="22"/>
      <c r="AO50" s="22"/>
      <c r="AP50" s="22"/>
      <c r="AQ50" s="22"/>
      <c r="AR50" s="1"/>
      <c r="AS50" s="1"/>
      <c r="AT50" s="15"/>
      <c r="AU50" s="19"/>
      <c r="AV50" s="20"/>
      <c r="AW50" s="17"/>
      <c r="AX50" s="21"/>
      <c r="AY50" s="22"/>
      <c r="AZ50" s="22"/>
      <c r="BA50" s="22"/>
      <c r="BB50" s="22"/>
      <c r="BC50" s="1"/>
    </row>
    <row r="51" spans="1:55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</row>
    <row r="52" spans="1:55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</row>
    <row r="53" spans="1:55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</row>
  </sheetData>
  <sheetProtection algorithmName="SHA-512" hashValue="wq83zmnPuBU7rjR/sIRd5tLoxscx17iTWDXmMXf7FVLFBP/8OKdusFwzcWQtavJ7YT5TFFkqDJcykenT2mT8eQ==" saltValue="o/7FQ0A8SaRCkImL68dbbw==" spinCount="100000" sheet="1" objects="1" scenarios="1" selectLockedCells="1"/>
  <mergeCells count="307">
    <mergeCell ref="AJ49:AK49"/>
    <mergeCell ref="AM49:AQ49"/>
    <mergeCell ref="AJ50:AK50"/>
    <mergeCell ref="AM50:AQ50"/>
    <mergeCell ref="AJ46:AK46"/>
    <mergeCell ref="AM46:AQ46"/>
    <mergeCell ref="AJ47:AK47"/>
    <mergeCell ref="AM47:AQ47"/>
    <mergeCell ref="AJ48:AK48"/>
    <mergeCell ref="AM48:AQ48"/>
    <mergeCell ref="AJ43:AK43"/>
    <mergeCell ref="AM43:AQ43"/>
    <mergeCell ref="AJ44:AK44"/>
    <mergeCell ref="AM44:AQ44"/>
    <mergeCell ref="AJ45:AK45"/>
    <mergeCell ref="AM45:AQ45"/>
    <mergeCell ref="AJ40:AK40"/>
    <mergeCell ref="AM40:AQ40"/>
    <mergeCell ref="AJ41:AK41"/>
    <mergeCell ref="AM41:AQ41"/>
    <mergeCell ref="AJ42:AK42"/>
    <mergeCell ref="AM42:AQ42"/>
    <mergeCell ref="AJ37:AK37"/>
    <mergeCell ref="AM37:AQ37"/>
    <mergeCell ref="AJ38:AK38"/>
    <mergeCell ref="AM38:AQ38"/>
    <mergeCell ref="AJ39:AK39"/>
    <mergeCell ref="AM39:AQ39"/>
    <mergeCell ref="AJ34:AK34"/>
    <mergeCell ref="AM34:AQ34"/>
    <mergeCell ref="AJ35:AK35"/>
    <mergeCell ref="AM35:AQ35"/>
    <mergeCell ref="AJ36:AK36"/>
    <mergeCell ref="AM36:AQ36"/>
    <mergeCell ref="AJ31:AK31"/>
    <mergeCell ref="AM31:AQ31"/>
    <mergeCell ref="AJ32:AK32"/>
    <mergeCell ref="AM32:AQ32"/>
    <mergeCell ref="AJ33:AK33"/>
    <mergeCell ref="AM33:AQ33"/>
    <mergeCell ref="AJ28:AK28"/>
    <mergeCell ref="AM28:AQ28"/>
    <mergeCell ref="AJ29:AK29"/>
    <mergeCell ref="AM29:AQ29"/>
    <mergeCell ref="AJ30:AK30"/>
    <mergeCell ref="AM30:AQ30"/>
    <mergeCell ref="AJ25:AK25"/>
    <mergeCell ref="AM25:AQ25"/>
    <mergeCell ref="AJ26:AK26"/>
    <mergeCell ref="AM26:AQ26"/>
    <mergeCell ref="AJ27:AK27"/>
    <mergeCell ref="AM27:AQ27"/>
    <mergeCell ref="AJ22:AK22"/>
    <mergeCell ref="AM22:AQ22"/>
    <mergeCell ref="AJ23:AK23"/>
    <mergeCell ref="AM23:AQ23"/>
    <mergeCell ref="AJ24:AK24"/>
    <mergeCell ref="AM24:AQ24"/>
    <mergeCell ref="AJ19:AK19"/>
    <mergeCell ref="AM19:AQ19"/>
    <mergeCell ref="AJ20:AK20"/>
    <mergeCell ref="AM20:AQ20"/>
    <mergeCell ref="AJ21:AK21"/>
    <mergeCell ref="AM21:AQ21"/>
    <mergeCell ref="AJ16:AK16"/>
    <mergeCell ref="AM16:AQ16"/>
    <mergeCell ref="AJ17:AK17"/>
    <mergeCell ref="AM17:AQ17"/>
    <mergeCell ref="AJ18:AK18"/>
    <mergeCell ref="AM18:AQ18"/>
    <mergeCell ref="AJ9:AK9"/>
    <mergeCell ref="AM9:AQ9"/>
    <mergeCell ref="AJ14:AK14"/>
    <mergeCell ref="AM14:AQ14"/>
    <mergeCell ref="AJ15:AK15"/>
    <mergeCell ref="AM15:AQ15"/>
    <mergeCell ref="Y49:Z49"/>
    <mergeCell ref="AB49:AF49"/>
    <mergeCell ref="Y50:Z50"/>
    <mergeCell ref="AB50:AF50"/>
    <mergeCell ref="Y40:Z40"/>
    <mergeCell ref="AB40:AF40"/>
    <mergeCell ref="Y41:Z41"/>
    <mergeCell ref="AB41:AF41"/>
    <mergeCell ref="Y42:Z42"/>
    <mergeCell ref="AB42:AF42"/>
    <mergeCell ref="Y37:Z37"/>
    <mergeCell ref="AB37:AF37"/>
    <mergeCell ref="Y38:Z38"/>
    <mergeCell ref="AB38:AF38"/>
    <mergeCell ref="Y39:Z39"/>
    <mergeCell ref="AB39:AF39"/>
    <mergeCell ref="Y34:Z34"/>
    <mergeCell ref="AB34:AF34"/>
    <mergeCell ref="Y46:Z46"/>
    <mergeCell ref="AB46:AF46"/>
    <mergeCell ref="Y47:Z47"/>
    <mergeCell ref="AB47:AF47"/>
    <mergeCell ref="Y48:Z48"/>
    <mergeCell ref="AB48:AF48"/>
    <mergeCell ref="Y43:Z43"/>
    <mergeCell ref="AB43:AF43"/>
    <mergeCell ref="Y44:Z44"/>
    <mergeCell ref="AB44:AF44"/>
    <mergeCell ref="Y45:Z45"/>
    <mergeCell ref="AB45:AF45"/>
    <mergeCell ref="Y35:Z35"/>
    <mergeCell ref="AB35:AF35"/>
    <mergeCell ref="Y36:Z36"/>
    <mergeCell ref="AB36:AF36"/>
    <mergeCell ref="Y31:Z31"/>
    <mergeCell ref="AB31:AF31"/>
    <mergeCell ref="Y32:Z32"/>
    <mergeCell ref="AB32:AF32"/>
    <mergeCell ref="Y33:Z33"/>
    <mergeCell ref="AB33:AF33"/>
    <mergeCell ref="Y28:Z28"/>
    <mergeCell ref="AB28:AF28"/>
    <mergeCell ref="Y29:Z29"/>
    <mergeCell ref="AB29:AF29"/>
    <mergeCell ref="Y30:Z30"/>
    <mergeCell ref="AB30:AF30"/>
    <mergeCell ref="Y25:Z25"/>
    <mergeCell ref="AB25:AF25"/>
    <mergeCell ref="Y26:Z26"/>
    <mergeCell ref="AB26:AF26"/>
    <mergeCell ref="Y27:Z27"/>
    <mergeCell ref="AB27:AF27"/>
    <mergeCell ref="Y22:Z22"/>
    <mergeCell ref="AB22:AF22"/>
    <mergeCell ref="Y23:Z23"/>
    <mergeCell ref="AB23:AF23"/>
    <mergeCell ref="Y24:Z24"/>
    <mergeCell ref="AB24:AF24"/>
    <mergeCell ref="Y19:Z19"/>
    <mergeCell ref="AB19:AF19"/>
    <mergeCell ref="Y20:Z20"/>
    <mergeCell ref="AB20:AF20"/>
    <mergeCell ref="Y21:Z21"/>
    <mergeCell ref="AB21:AF21"/>
    <mergeCell ref="Y16:Z16"/>
    <mergeCell ref="AB16:AF16"/>
    <mergeCell ref="Y17:Z17"/>
    <mergeCell ref="AB17:AF17"/>
    <mergeCell ref="Y18:Z18"/>
    <mergeCell ref="AB18:AF18"/>
    <mergeCell ref="Y9:Z9"/>
    <mergeCell ref="AB9:AF9"/>
    <mergeCell ref="Y14:Z14"/>
    <mergeCell ref="AB14:AF14"/>
    <mergeCell ref="Y15:Z15"/>
    <mergeCell ref="AB15:AF15"/>
    <mergeCell ref="N38:O38"/>
    <mergeCell ref="Q38:U38"/>
    <mergeCell ref="N50:O50"/>
    <mergeCell ref="Q50:U50"/>
    <mergeCell ref="N44:O44"/>
    <mergeCell ref="Q44:U44"/>
    <mergeCell ref="N39:O39"/>
    <mergeCell ref="Q39:U39"/>
    <mergeCell ref="N40:O40"/>
    <mergeCell ref="Q40:U40"/>
    <mergeCell ref="N41:O41"/>
    <mergeCell ref="Q41:U41"/>
    <mergeCell ref="N45:O45"/>
    <mergeCell ref="Q45:U45"/>
    <mergeCell ref="N46:O46"/>
    <mergeCell ref="Q46:U46"/>
    <mergeCell ref="N47:O47"/>
    <mergeCell ref="Q47:U47"/>
    <mergeCell ref="N48:O48"/>
    <mergeCell ref="Q48:U48"/>
    <mergeCell ref="N49:O49"/>
    <mergeCell ref="Q49:U49"/>
    <mergeCell ref="N14:O14"/>
    <mergeCell ref="Q14:U14"/>
    <mergeCell ref="N9:O9"/>
    <mergeCell ref="Q9:U9"/>
    <mergeCell ref="N42:O42"/>
    <mergeCell ref="Q42:U42"/>
    <mergeCell ref="N43:O43"/>
    <mergeCell ref="Q43:U43"/>
    <mergeCell ref="N29:O29"/>
    <mergeCell ref="Q29:U29"/>
    <mergeCell ref="N30:O30"/>
    <mergeCell ref="Q30:U30"/>
    <mergeCell ref="N27:O27"/>
    <mergeCell ref="Q27:U27"/>
    <mergeCell ref="N33:O33"/>
    <mergeCell ref="Q33:U33"/>
    <mergeCell ref="N34:O34"/>
    <mergeCell ref="Q34:U34"/>
    <mergeCell ref="N31:O31"/>
    <mergeCell ref="Q31:U31"/>
    <mergeCell ref="N32:O32"/>
    <mergeCell ref="Q32:U32"/>
    <mergeCell ref="N37:O37"/>
    <mergeCell ref="Q37:U37"/>
    <mergeCell ref="Q25:U25"/>
    <mergeCell ref="N26:O26"/>
    <mergeCell ref="Q26:U26"/>
    <mergeCell ref="C18:D18"/>
    <mergeCell ref="E18:F18"/>
    <mergeCell ref="G18:H18"/>
    <mergeCell ref="N21:O21"/>
    <mergeCell ref="Q21:U21"/>
    <mergeCell ref="N19:O19"/>
    <mergeCell ref="Q19:U19"/>
    <mergeCell ref="N20:O20"/>
    <mergeCell ref="Q20:U20"/>
    <mergeCell ref="N18:O18"/>
    <mergeCell ref="Q18:U18"/>
    <mergeCell ref="N35:O35"/>
    <mergeCell ref="Q35:U35"/>
    <mergeCell ref="N36:O36"/>
    <mergeCell ref="Q36:U36"/>
    <mergeCell ref="N23:O23"/>
    <mergeCell ref="Q23:U23"/>
    <mergeCell ref="N24:O24"/>
    <mergeCell ref="Q24:U24"/>
    <mergeCell ref="AU9:AV9"/>
    <mergeCell ref="AU18:AV18"/>
    <mergeCell ref="AU23:AV23"/>
    <mergeCell ref="AU28:AV28"/>
    <mergeCell ref="AU33:AV33"/>
    <mergeCell ref="N15:O15"/>
    <mergeCell ref="Q15:U15"/>
    <mergeCell ref="N16:O16"/>
    <mergeCell ref="Q16:U16"/>
    <mergeCell ref="N22:O22"/>
    <mergeCell ref="Q22:U22"/>
    <mergeCell ref="N17:O17"/>
    <mergeCell ref="Q17:U17"/>
    <mergeCell ref="N28:O28"/>
    <mergeCell ref="Q28:U28"/>
    <mergeCell ref="N25:O25"/>
    <mergeCell ref="AX9:BB9"/>
    <mergeCell ref="AU14:AV14"/>
    <mergeCell ref="AX14:BB14"/>
    <mergeCell ref="AU15:AV15"/>
    <mergeCell ref="AX15:BB15"/>
    <mergeCell ref="AU16:AV16"/>
    <mergeCell ref="AX16:BB16"/>
    <mergeCell ref="AU17:AV17"/>
    <mergeCell ref="AX17:BB17"/>
    <mergeCell ref="AX18:BB18"/>
    <mergeCell ref="AU19:AV19"/>
    <mergeCell ref="AX19:BB19"/>
    <mergeCell ref="AU20:AV20"/>
    <mergeCell ref="AX20:BB20"/>
    <mergeCell ref="AU21:AV21"/>
    <mergeCell ref="AX21:BB21"/>
    <mergeCell ref="AU22:AV22"/>
    <mergeCell ref="AX22:BB22"/>
    <mergeCell ref="AX23:BB23"/>
    <mergeCell ref="AU24:AV24"/>
    <mergeCell ref="AX24:BB24"/>
    <mergeCell ref="AU25:AV25"/>
    <mergeCell ref="AX25:BB25"/>
    <mergeCell ref="AU26:AV26"/>
    <mergeCell ref="AX26:BB26"/>
    <mergeCell ref="AU27:AV27"/>
    <mergeCell ref="AX27:BB27"/>
    <mergeCell ref="AX28:BB28"/>
    <mergeCell ref="AU29:AV29"/>
    <mergeCell ref="AX29:BB29"/>
    <mergeCell ref="AU30:AV30"/>
    <mergeCell ref="AX30:BB30"/>
    <mergeCell ref="AU31:AV31"/>
    <mergeCell ref="AX31:BB31"/>
    <mergeCell ref="AU32:AV32"/>
    <mergeCell ref="AX32:BB32"/>
    <mergeCell ref="AX33:BB33"/>
    <mergeCell ref="AU34:AV34"/>
    <mergeCell ref="AX34:BB34"/>
    <mergeCell ref="AU35:AV35"/>
    <mergeCell ref="AX35:BB35"/>
    <mergeCell ref="AU36:AV36"/>
    <mergeCell ref="AX36:BB36"/>
    <mergeCell ref="AU37:AV37"/>
    <mergeCell ref="AX37:BB37"/>
    <mergeCell ref="AU38:AV38"/>
    <mergeCell ref="AX38:BB38"/>
    <mergeCell ref="AU39:AV39"/>
    <mergeCell ref="AX39:BB39"/>
    <mergeCell ref="AU40:AV40"/>
    <mergeCell ref="AX40:BB40"/>
    <mergeCell ref="AU41:AV41"/>
    <mergeCell ref="AX41:BB41"/>
    <mergeCell ref="AU42:AV42"/>
    <mergeCell ref="AX42:BB42"/>
    <mergeCell ref="AU48:AV48"/>
    <mergeCell ref="AX48:BB48"/>
    <mergeCell ref="AU49:AV49"/>
    <mergeCell ref="AX49:BB49"/>
    <mergeCell ref="AU50:AV50"/>
    <mergeCell ref="AX50:BB50"/>
    <mergeCell ref="AU43:AV43"/>
    <mergeCell ref="AX43:BB43"/>
    <mergeCell ref="AU44:AV44"/>
    <mergeCell ref="AX44:BB44"/>
    <mergeCell ref="AU45:AV45"/>
    <mergeCell ref="AX45:BB45"/>
    <mergeCell ref="AU46:AV46"/>
    <mergeCell ref="AX46:BB46"/>
    <mergeCell ref="AU47:AV47"/>
    <mergeCell ref="AX47:BB47"/>
  </mergeCells>
  <phoneticPr fontId="1" type="noConversion"/>
  <conditionalFormatting sqref="M14:M50">
    <cfRule type="duplicateValues" dxfId="8" priority="4"/>
  </conditionalFormatting>
  <conditionalFormatting sqref="X14:X50">
    <cfRule type="duplicateValues" dxfId="7" priority="3"/>
  </conditionalFormatting>
  <conditionalFormatting sqref="AI14:AI50">
    <cfRule type="duplicateValues" dxfId="6" priority="2"/>
  </conditionalFormatting>
  <conditionalFormatting sqref="M14:M50 X14:X50 AI14:AI50 AT14:AT50">
    <cfRule type="duplicateValues" dxfId="5" priority="1"/>
  </conditionalFormatting>
  <dataValidations count="1">
    <dataValidation type="list" allowBlank="1" showInputMessage="1" showErrorMessage="1" sqref="AJ10:AK13 N10:O13 AU10:AV13 Y10:Z13" xr:uid="{260E1589-E259-4FA3-98BE-80BCAC2EE83E}">
      <formula1>#REF!</formula1>
    </dataValidation>
  </dataValidations>
  <printOptions horizontalCentered="1" verticalCentered="1"/>
  <pageMargins left="0.15" right="0.15" top="0.15" bottom="0.15" header="0.15" footer="0.15"/>
  <pageSetup orientation="portrait" horizontalDpi="300" verticalDpi="300" r:id="rId1"/>
  <headerFooter scaleWithDoc="0"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E41CE93-86E4-4524-B8BB-C195DD36084B}">
          <x14:formula1>
            <xm:f>'Mapping table_1'!$F$5:$F$26</xm:f>
          </x14:formula1>
          <xm:sqref>AU14:AV50 N14:O50 Y14:Z50 AJ14:AK50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ABBF0-3512-435B-B87D-6FF07794CAC3}">
  <sheetPr codeName="Sheet2"/>
  <dimension ref="D3:J27"/>
  <sheetViews>
    <sheetView workbookViewId="0">
      <selection sqref="A1:XFD1048576"/>
    </sheetView>
  </sheetViews>
  <sheetFormatPr defaultRowHeight="15" x14ac:dyDescent="0.25"/>
  <cols>
    <col min="5" max="5" width="18.42578125" bestFit="1" customWidth="1"/>
    <col min="6" max="6" width="16.85546875" bestFit="1" customWidth="1"/>
    <col min="16" max="16" width="8.85546875" bestFit="1" customWidth="1"/>
    <col min="17" max="17" width="14.5703125" bestFit="1" customWidth="1"/>
    <col min="18" max="18" width="224.5703125" bestFit="1" customWidth="1"/>
  </cols>
  <sheetData>
    <row r="3" spans="4:10" x14ac:dyDescent="0.25">
      <c r="E3" s="25" t="s">
        <v>5</v>
      </c>
      <c r="F3" s="25"/>
      <c r="G3" s="25"/>
      <c r="H3" s="25"/>
      <c r="I3" s="25"/>
      <c r="J3" s="25"/>
    </row>
    <row r="4" spans="4:10" x14ac:dyDescent="0.25">
      <c r="D4" t="s">
        <v>19</v>
      </c>
      <c r="E4" t="s">
        <v>8</v>
      </c>
      <c r="F4" t="s">
        <v>20</v>
      </c>
      <c r="G4" s="6" t="s">
        <v>17</v>
      </c>
      <c r="H4" s="2" t="s">
        <v>6</v>
      </c>
      <c r="I4" s="2" t="s">
        <v>7</v>
      </c>
      <c r="J4" s="2" t="s">
        <v>18</v>
      </c>
    </row>
    <row r="5" spans="4:10" x14ac:dyDescent="0.25">
      <c r="D5">
        <v>1</v>
      </c>
      <c r="E5" t="s">
        <v>9</v>
      </c>
      <c r="F5" t="s">
        <v>25</v>
      </c>
      <c r="G5" s="2" cm="1">
        <f t="array" aca="1" ref="G5:G26" ca="1">SUMIF('January 2025'!N14:P50,'Mapping table_1'!F5:F26,'January 2025'!P14:P50)</f>
        <v>0</v>
      </c>
      <c r="H5" s="2" cm="1">
        <f t="array" aca="1" ref="H5:H26" ca="1">SUMIF('January 2025'!Y14:AA50,'Mapping table_1'!F5:F26,'January 2025'!AA14:AA50)</f>
        <v>0</v>
      </c>
      <c r="I5" s="2" cm="1">
        <f t="array" aca="1" ref="I5:I26" ca="1">SUMIF('January 2025'!AJ14:AL50,'Mapping table_1'!F5:F26,'January 2025'!AL14:AL50)</f>
        <v>0</v>
      </c>
      <c r="J5" s="2" cm="1">
        <f t="array" aca="1" ref="J5:J26" ca="1">SUMIF('January 2025'!AU14:AW50,'Mapping table_1'!F5:F26,'January 2025'!AW14:AW50)</f>
        <v>0</v>
      </c>
    </row>
    <row r="6" spans="4:10" x14ac:dyDescent="0.25">
      <c r="D6">
        <v>2</v>
      </c>
      <c r="E6" t="s">
        <v>9</v>
      </c>
      <c r="F6" t="s">
        <v>26</v>
      </c>
      <c r="G6" s="2">
        <f ca="1"/>
        <v>0</v>
      </c>
      <c r="H6" s="2">
        <f ca="1"/>
        <v>0</v>
      </c>
      <c r="I6" s="2">
        <f ca="1"/>
        <v>0</v>
      </c>
      <c r="J6" s="2">
        <f ca="1"/>
        <v>0</v>
      </c>
    </row>
    <row r="7" spans="4:10" x14ac:dyDescent="0.25">
      <c r="D7">
        <v>3</v>
      </c>
      <c r="E7" t="s">
        <v>9</v>
      </c>
      <c r="F7" t="s">
        <v>27</v>
      </c>
      <c r="G7" s="2">
        <f ca="1"/>
        <v>0</v>
      </c>
      <c r="H7" s="2">
        <f ca="1"/>
        <v>0</v>
      </c>
      <c r="I7" s="2">
        <f ca="1"/>
        <v>0</v>
      </c>
      <c r="J7" s="2">
        <f ca="1"/>
        <v>0</v>
      </c>
    </row>
    <row r="8" spans="4:10" x14ac:dyDescent="0.25">
      <c r="D8">
        <v>4</v>
      </c>
      <c r="E8" t="s">
        <v>9</v>
      </c>
      <c r="F8" t="s">
        <v>28</v>
      </c>
      <c r="G8" s="2">
        <f ca="1"/>
        <v>1</v>
      </c>
      <c r="H8" s="2">
        <f ca="1"/>
        <v>0</v>
      </c>
      <c r="I8" s="2">
        <f ca="1"/>
        <v>0</v>
      </c>
      <c r="J8" s="2">
        <f ca="1"/>
        <v>0</v>
      </c>
    </row>
    <row r="9" spans="4:10" x14ac:dyDescent="0.25">
      <c r="D9">
        <v>5</v>
      </c>
      <c r="E9" t="s">
        <v>9</v>
      </c>
      <c r="F9" t="s">
        <v>29</v>
      </c>
      <c r="G9" s="2">
        <f ca="1"/>
        <v>0</v>
      </c>
      <c r="H9" s="2">
        <f ca="1"/>
        <v>0</v>
      </c>
      <c r="I9" s="2">
        <f ca="1"/>
        <v>0</v>
      </c>
      <c r="J9" s="2">
        <f ca="1"/>
        <v>0</v>
      </c>
    </row>
    <row r="10" spans="4:10" x14ac:dyDescent="0.25">
      <c r="D10">
        <v>6</v>
      </c>
      <c r="E10" t="s">
        <v>9</v>
      </c>
      <c r="F10" t="s">
        <v>30</v>
      </c>
      <c r="G10" s="2">
        <f ca="1"/>
        <v>0</v>
      </c>
      <c r="H10" s="2">
        <f ca="1"/>
        <v>2</v>
      </c>
      <c r="I10" s="2">
        <f ca="1"/>
        <v>0</v>
      </c>
      <c r="J10" s="2">
        <f ca="1"/>
        <v>0</v>
      </c>
    </row>
    <row r="11" spans="4:10" x14ac:dyDescent="0.25">
      <c r="D11">
        <v>7</v>
      </c>
      <c r="E11" t="s">
        <v>9</v>
      </c>
      <c r="F11" t="s">
        <v>31</v>
      </c>
      <c r="G11" s="2">
        <f ca="1"/>
        <v>0</v>
      </c>
      <c r="H11" s="2">
        <f ca="1"/>
        <v>0</v>
      </c>
      <c r="I11" s="2">
        <f ca="1"/>
        <v>0</v>
      </c>
      <c r="J11" s="2">
        <f ca="1"/>
        <v>0</v>
      </c>
    </row>
    <row r="12" spans="4:10" x14ac:dyDescent="0.25">
      <c r="D12">
        <v>8</v>
      </c>
      <c r="E12" t="s">
        <v>10</v>
      </c>
      <c r="F12" t="s">
        <v>21</v>
      </c>
      <c r="G12" s="2">
        <f ca="1"/>
        <v>0</v>
      </c>
      <c r="H12" s="2">
        <f ca="1"/>
        <v>0</v>
      </c>
      <c r="I12" s="2">
        <f ca="1"/>
        <v>0</v>
      </c>
      <c r="J12" s="2">
        <f ca="1"/>
        <v>0</v>
      </c>
    </row>
    <row r="13" spans="4:10" x14ac:dyDescent="0.25">
      <c r="D13">
        <v>9</v>
      </c>
      <c r="E13" t="s">
        <v>10</v>
      </c>
      <c r="F13" t="s">
        <v>22</v>
      </c>
      <c r="G13" s="2">
        <f ca="1"/>
        <v>0</v>
      </c>
      <c r="H13" s="2">
        <f ca="1"/>
        <v>0</v>
      </c>
      <c r="I13" s="2">
        <f ca="1"/>
        <v>0</v>
      </c>
      <c r="J13" s="2">
        <f ca="1"/>
        <v>0</v>
      </c>
    </row>
    <row r="14" spans="4:10" x14ac:dyDescent="0.25">
      <c r="D14">
        <v>10</v>
      </c>
      <c r="E14" t="s">
        <v>10</v>
      </c>
      <c r="F14" t="s">
        <v>23</v>
      </c>
      <c r="G14" s="2">
        <f ca="1"/>
        <v>0</v>
      </c>
      <c r="H14" s="2">
        <f ca="1"/>
        <v>0</v>
      </c>
      <c r="I14" s="2">
        <f ca="1"/>
        <v>0</v>
      </c>
      <c r="J14" s="2">
        <f ca="1"/>
        <v>0</v>
      </c>
    </row>
    <row r="15" spans="4:10" x14ac:dyDescent="0.25">
      <c r="D15">
        <v>11</v>
      </c>
      <c r="E15" t="s">
        <v>10</v>
      </c>
      <c r="F15" t="s">
        <v>24</v>
      </c>
      <c r="G15" s="2">
        <f ca="1"/>
        <v>0</v>
      </c>
      <c r="H15" s="2">
        <f ca="1"/>
        <v>0</v>
      </c>
      <c r="I15" s="2">
        <f ca="1"/>
        <v>0</v>
      </c>
      <c r="J15" s="2">
        <f ca="1"/>
        <v>0</v>
      </c>
    </row>
    <row r="16" spans="4:10" x14ac:dyDescent="0.25">
      <c r="D16">
        <v>12</v>
      </c>
      <c r="E16" t="s">
        <v>10</v>
      </c>
      <c r="F16" t="s">
        <v>11</v>
      </c>
      <c r="G16" s="2">
        <f ca="1"/>
        <v>0</v>
      </c>
      <c r="H16" s="2">
        <f ca="1"/>
        <v>0</v>
      </c>
      <c r="I16" s="2">
        <f ca="1"/>
        <v>0</v>
      </c>
      <c r="J16" s="2">
        <f ca="1"/>
        <v>0</v>
      </c>
    </row>
    <row r="17" spans="4:10" x14ac:dyDescent="0.25">
      <c r="D17">
        <v>13</v>
      </c>
      <c r="E17" t="s">
        <v>10</v>
      </c>
      <c r="F17" t="s">
        <v>32</v>
      </c>
      <c r="G17" s="2">
        <f ca="1"/>
        <v>0</v>
      </c>
      <c r="H17" s="2">
        <f ca="1"/>
        <v>0</v>
      </c>
      <c r="I17" s="2">
        <f ca="1"/>
        <v>0</v>
      </c>
      <c r="J17" s="2">
        <f ca="1"/>
        <v>0</v>
      </c>
    </row>
    <row r="18" spans="4:10" x14ac:dyDescent="0.25">
      <c r="D18">
        <v>14</v>
      </c>
      <c r="E18" t="s">
        <v>10</v>
      </c>
      <c r="F18" t="s">
        <v>33</v>
      </c>
      <c r="G18" s="2">
        <f ca="1"/>
        <v>0</v>
      </c>
      <c r="H18" s="2">
        <f ca="1"/>
        <v>0</v>
      </c>
      <c r="I18" s="2">
        <f ca="1"/>
        <v>0</v>
      </c>
      <c r="J18" s="2">
        <f ca="1"/>
        <v>0</v>
      </c>
    </row>
    <row r="19" spans="4:10" x14ac:dyDescent="0.25">
      <c r="D19">
        <v>15</v>
      </c>
      <c r="E19" t="s">
        <v>12</v>
      </c>
      <c r="F19" t="s">
        <v>13</v>
      </c>
      <c r="G19" s="2">
        <f ca="1"/>
        <v>0</v>
      </c>
      <c r="H19" s="2">
        <f ca="1"/>
        <v>0</v>
      </c>
      <c r="I19" s="2">
        <f ca="1"/>
        <v>0</v>
      </c>
      <c r="J19" s="2">
        <f ca="1"/>
        <v>0</v>
      </c>
    </row>
    <row r="20" spans="4:10" x14ac:dyDescent="0.25">
      <c r="D20">
        <v>16</v>
      </c>
      <c r="E20" t="s">
        <v>12</v>
      </c>
      <c r="F20" t="s">
        <v>14</v>
      </c>
      <c r="G20" s="2">
        <f ca="1"/>
        <v>0</v>
      </c>
      <c r="H20" s="2">
        <f ca="1"/>
        <v>0</v>
      </c>
      <c r="I20" s="2">
        <f ca="1"/>
        <v>0</v>
      </c>
      <c r="J20" s="2">
        <f ca="1"/>
        <v>0</v>
      </c>
    </row>
    <row r="21" spans="4:10" x14ac:dyDescent="0.25">
      <c r="D21">
        <v>17</v>
      </c>
      <c r="E21" t="s">
        <v>12</v>
      </c>
      <c r="F21" t="s">
        <v>15</v>
      </c>
      <c r="G21" s="2">
        <f ca="1"/>
        <v>3</v>
      </c>
      <c r="H21" s="2">
        <f ca="1"/>
        <v>0</v>
      </c>
      <c r="I21" s="2">
        <f ca="1"/>
        <v>0</v>
      </c>
      <c r="J21" s="2">
        <f ca="1"/>
        <v>0</v>
      </c>
    </row>
    <row r="22" spans="4:10" x14ac:dyDescent="0.25">
      <c r="D22">
        <v>18</v>
      </c>
      <c r="E22" t="s">
        <v>16</v>
      </c>
      <c r="F22" t="s">
        <v>0</v>
      </c>
      <c r="G22" s="2">
        <f ca="1"/>
        <v>0</v>
      </c>
      <c r="H22" s="2">
        <f ca="1"/>
        <v>0</v>
      </c>
      <c r="I22" s="2">
        <f ca="1"/>
        <v>0</v>
      </c>
      <c r="J22" s="2">
        <f ca="1"/>
        <v>0</v>
      </c>
    </row>
    <row r="23" spans="4:10" x14ac:dyDescent="0.25">
      <c r="D23">
        <v>19</v>
      </c>
      <c r="E23" t="s">
        <v>16</v>
      </c>
      <c r="F23" t="s">
        <v>1</v>
      </c>
      <c r="G23" s="2">
        <f ca="1"/>
        <v>0</v>
      </c>
      <c r="H23" s="2">
        <f ca="1"/>
        <v>0</v>
      </c>
      <c r="I23" s="2">
        <f ca="1"/>
        <v>0</v>
      </c>
      <c r="J23" s="2">
        <f ca="1"/>
        <v>0</v>
      </c>
    </row>
    <row r="24" spans="4:10" x14ac:dyDescent="0.25">
      <c r="D24">
        <v>20</v>
      </c>
      <c r="E24" t="s">
        <v>16</v>
      </c>
      <c r="F24" t="s">
        <v>2</v>
      </c>
      <c r="G24" s="2">
        <f ca="1"/>
        <v>4</v>
      </c>
      <c r="H24" s="2">
        <f ca="1"/>
        <v>0</v>
      </c>
      <c r="I24" s="2">
        <f ca="1"/>
        <v>0</v>
      </c>
      <c r="J24" s="2">
        <f ca="1"/>
        <v>0</v>
      </c>
    </row>
    <row r="25" spans="4:10" x14ac:dyDescent="0.25">
      <c r="D25">
        <v>21</v>
      </c>
      <c r="E25" t="s">
        <v>16</v>
      </c>
      <c r="F25" t="s">
        <v>3</v>
      </c>
      <c r="G25" s="2">
        <f ca="1"/>
        <v>3</v>
      </c>
      <c r="H25" s="2">
        <f ca="1"/>
        <v>0</v>
      </c>
      <c r="I25" s="2">
        <f ca="1"/>
        <v>0</v>
      </c>
      <c r="J25" s="2">
        <f ca="1"/>
        <v>0</v>
      </c>
    </row>
    <row r="26" spans="4:10" x14ac:dyDescent="0.25">
      <c r="D26">
        <v>22</v>
      </c>
      <c r="E26" t="s">
        <v>16</v>
      </c>
      <c r="F26" t="s">
        <v>4</v>
      </c>
      <c r="G26" s="2">
        <f ca="1"/>
        <v>3</v>
      </c>
      <c r="H26" s="2">
        <f ca="1"/>
        <v>0</v>
      </c>
      <c r="I26" s="2">
        <f ca="1"/>
        <v>0</v>
      </c>
      <c r="J26" s="2">
        <f ca="1"/>
        <v>0</v>
      </c>
    </row>
    <row r="27" spans="4:10" x14ac:dyDescent="0.25">
      <c r="G27">
        <f ca="1">SUM(_xlfn.ANCHORARRAY(G5))</f>
        <v>14</v>
      </c>
      <c r="H27">
        <f t="shared" ref="H27:J27" ca="1" si="0">SUM(_xlfn.ANCHORARRAY(H5))</f>
        <v>2</v>
      </c>
      <c r="I27">
        <f t="shared" ca="1" si="0"/>
        <v>0</v>
      </c>
      <c r="J27">
        <f t="shared" ca="1" si="0"/>
        <v>0</v>
      </c>
    </row>
  </sheetData>
  <sheetProtection algorithmName="SHA-512" hashValue="x841cUf6AE8bPE+0g7EVgZSonoKDOyL9UxisMOjYcvAEIhjLGaCIPDhEXE8zm0VgPdxONx+kXJjvNHFeLTadSg==" saltValue="QW0GIDOg807oFVy5JF/2tw==" spinCount="100000" sheet="1" objects="1" scenarios="1" selectLockedCells="1"/>
  <mergeCells count="1">
    <mergeCell ref="E3:J3"/>
  </mergeCells>
  <conditionalFormatting sqref="F5:F26">
    <cfRule type="duplicateValues" dxfId="4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DC769-4653-48E4-93F8-EAE2AF312C6F}">
  <sheetPr codeName="Sheet3"/>
  <dimension ref="A1:BC53"/>
  <sheetViews>
    <sheetView showGridLines="0" view="pageBreakPreview" topLeftCell="A6" zoomScale="80" zoomScaleNormal="60" zoomScaleSheetLayoutView="80" zoomScalePageLayoutView="70" workbookViewId="0">
      <selection activeCell="M18" sqref="M18"/>
    </sheetView>
  </sheetViews>
  <sheetFormatPr defaultRowHeight="15" x14ac:dyDescent="0.25"/>
  <cols>
    <col min="2" max="2" width="10.42578125" customWidth="1"/>
    <col min="4" max="4" width="11" customWidth="1"/>
    <col min="10" max="10" width="8" customWidth="1"/>
  </cols>
  <sheetData>
    <row r="1" spans="1:5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</row>
    <row r="2" spans="1:55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</row>
    <row r="3" spans="1:55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</row>
    <row r="4" spans="1:55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</row>
    <row r="5" spans="1:55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</row>
    <row r="6" spans="1:55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</row>
    <row r="7" spans="1:55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</row>
    <row r="8" spans="1:55" x14ac:dyDescent="0.25">
      <c r="A8" s="1"/>
      <c r="B8" s="1"/>
      <c r="C8" s="1"/>
      <c r="D8" s="1"/>
      <c r="E8" s="1"/>
      <c r="F8" s="1"/>
      <c r="G8" s="1"/>
      <c r="H8" s="1"/>
      <c r="I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</row>
    <row r="9" spans="1:55" x14ac:dyDescent="0.25">
      <c r="A9" s="1"/>
      <c r="B9" s="1"/>
      <c r="C9" s="1"/>
      <c r="D9" s="1"/>
      <c r="E9" s="1"/>
      <c r="F9" s="1"/>
      <c r="G9" s="1"/>
      <c r="H9" s="1"/>
      <c r="I9" s="1"/>
      <c r="K9" s="1"/>
      <c r="L9" s="1"/>
      <c r="M9" s="18"/>
      <c r="N9" s="23"/>
      <c r="O9" s="23"/>
      <c r="P9" s="18"/>
      <c r="Q9" s="23"/>
      <c r="R9" s="23"/>
      <c r="S9" s="23"/>
      <c r="T9" s="23"/>
      <c r="U9" s="23"/>
      <c r="V9" s="1"/>
      <c r="W9" s="1"/>
      <c r="X9" s="18"/>
      <c r="Y9" s="23"/>
      <c r="Z9" s="23"/>
      <c r="AA9" s="18"/>
      <c r="AB9" s="23"/>
      <c r="AC9" s="23"/>
      <c r="AD9" s="23"/>
      <c r="AE9" s="23"/>
      <c r="AF9" s="23"/>
      <c r="AG9" s="1"/>
      <c r="AH9" s="1"/>
      <c r="AI9" s="18"/>
      <c r="AJ9" s="23"/>
      <c r="AK9" s="23"/>
      <c r="AL9" s="18"/>
      <c r="AM9" s="23"/>
      <c r="AN9" s="23"/>
      <c r="AO9" s="23"/>
      <c r="AP9" s="23"/>
      <c r="AQ9" s="23"/>
      <c r="AR9" s="1"/>
      <c r="AS9" s="1"/>
      <c r="AT9" s="18"/>
      <c r="AU9" s="23"/>
      <c r="AV9" s="23"/>
      <c r="AW9" s="18"/>
      <c r="AX9" s="23"/>
      <c r="AY9" s="23"/>
      <c r="AZ9" s="23"/>
      <c r="BA9" s="23"/>
      <c r="BB9" s="23"/>
      <c r="BC9" s="1"/>
    </row>
    <row r="10" spans="1:55" x14ac:dyDescent="0.25">
      <c r="A10" s="1"/>
      <c r="B10" s="1"/>
      <c r="C10" s="1"/>
      <c r="D10" s="1"/>
      <c r="E10" s="1"/>
      <c r="F10" s="1"/>
      <c r="G10" s="1"/>
      <c r="H10" s="1"/>
      <c r="I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</row>
    <row r="11" spans="1:55" x14ac:dyDescent="0.25">
      <c r="A11" s="1"/>
      <c r="B11" s="1"/>
      <c r="C11" s="1"/>
      <c r="D11" s="1"/>
      <c r="E11" s="1"/>
      <c r="F11" s="1"/>
      <c r="G11" s="1"/>
      <c r="H11" s="1"/>
      <c r="I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</row>
    <row r="12" spans="1:55" x14ac:dyDescent="0.25">
      <c r="A12" s="1"/>
      <c r="B12" s="1"/>
      <c r="C12" s="1"/>
      <c r="D12" s="1"/>
      <c r="E12" s="1"/>
      <c r="F12" s="1"/>
      <c r="G12" s="1"/>
      <c r="H12" s="1"/>
      <c r="I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</row>
    <row r="13" spans="1:55" ht="15.75" thickBot="1" x14ac:dyDescent="0.3">
      <c r="A13" s="1"/>
      <c r="B13" s="1"/>
      <c r="C13" s="1"/>
      <c r="D13" s="1"/>
      <c r="E13" s="1"/>
      <c r="F13" s="1"/>
      <c r="G13" s="1"/>
      <c r="H13" s="1"/>
      <c r="I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</row>
    <row r="14" spans="1:55" x14ac:dyDescent="0.25">
      <c r="A14" s="1"/>
      <c r="B14" s="1"/>
      <c r="C14" s="1"/>
      <c r="D14" s="1"/>
      <c r="E14" s="1"/>
      <c r="F14" s="1"/>
      <c r="G14" s="1"/>
      <c r="H14" s="1"/>
      <c r="I14" s="1"/>
      <c r="K14" s="1"/>
      <c r="L14" s="1"/>
      <c r="M14" s="15">
        <v>1</v>
      </c>
      <c r="N14" s="19" t="s">
        <v>26</v>
      </c>
      <c r="O14" s="20"/>
      <c r="P14" s="16">
        <v>2</v>
      </c>
      <c r="Q14" s="21"/>
      <c r="R14" s="22"/>
      <c r="S14" s="22"/>
      <c r="T14" s="22"/>
      <c r="U14" s="22"/>
      <c r="V14" s="1"/>
      <c r="W14" s="1"/>
      <c r="X14" s="15"/>
      <c r="Y14" s="19"/>
      <c r="Z14" s="20"/>
      <c r="AA14" s="16"/>
      <c r="AB14" s="21"/>
      <c r="AC14" s="22"/>
      <c r="AD14" s="22"/>
      <c r="AE14" s="22"/>
      <c r="AF14" s="22"/>
      <c r="AG14" s="1"/>
      <c r="AH14" s="1"/>
      <c r="AI14" s="15"/>
      <c r="AJ14" s="19"/>
      <c r="AK14" s="20"/>
      <c r="AL14" s="16"/>
      <c r="AM14" s="21"/>
      <c r="AN14" s="22"/>
      <c r="AO14" s="22"/>
      <c r="AP14" s="22"/>
      <c r="AQ14" s="22"/>
      <c r="AR14" s="1"/>
      <c r="AS14" s="1"/>
      <c r="AT14" s="15"/>
      <c r="AU14" s="19"/>
      <c r="AV14" s="20"/>
      <c r="AW14" s="16"/>
      <c r="AX14" s="21"/>
      <c r="AY14" s="22"/>
      <c r="AZ14" s="22"/>
      <c r="BA14" s="22"/>
      <c r="BB14" s="22"/>
      <c r="BC14" s="1"/>
    </row>
    <row r="15" spans="1:55" x14ac:dyDescent="0.25">
      <c r="A15" s="1"/>
      <c r="B15" s="1"/>
      <c r="C15" s="1"/>
      <c r="D15" s="1"/>
      <c r="E15" s="1"/>
      <c r="G15" s="1"/>
      <c r="H15" s="1"/>
      <c r="K15" s="1"/>
      <c r="L15" s="1"/>
      <c r="M15" s="15">
        <v>2</v>
      </c>
      <c r="N15" s="19" t="s">
        <v>4</v>
      </c>
      <c r="O15" s="20"/>
      <c r="P15" s="17">
        <v>1</v>
      </c>
      <c r="Q15" s="21"/>
      <c r="R15" s="22"/>
      <c r="S15" s="22"/>
      <c r="T15" s="22"/>
      <c r="U15" s="22"/>
      <c r="V15" s="1"/>
      <c r="W15" s="1"/>
      <c r="X15" s="15"/>
      <c r="Y15" s="19"/>
      <c r="Z15" s="20"/>
      <c r="AA15" s="17"/>
      <c r="AB15" s="21"/>
      <c r="AC15" s="22"/>
      <c r="AD15" s="22"/>
      <c r="AE15" s="22"/>
      <c r="AF15" s="22"/>
      <c r="AG15" s="1"/>
      <c r="AH15" s="1"/>
      <c r="AI15" s="15"/>
      <c r="AJ15" s="19"/>
      <c r="AK15" s="20"/>
      <c r="AL15" s="17"/>
      <c r="AM15" s="21"/>
      <c r="AN15" s="22"/>
      <c r="AO15" s="22"/>
      <c r="AP15" s="22"/>
      <c r="AQ15" s="22"/>
      <c r="AR15" s="1"/>
      <c r="AS15" s="1"/>
      <c r="AT15" s="15"/>
      <c r="AU15" s="19"/>
      <c r="AV15" s="20"/>
      <c r="AW15" s="17"/>
      <c r="AX15" s="21"/>
      <c r="AY15" s="22"/>
      <c r="AZ15" s="22"/>
      <c r="BA15" s="22"/>
      <c r="BB15" s="22"/>
      <c r="BC15" s="1"/>
    </row>
    <row r="16" spans="1:55" x14ac:dyDescent="0.25">
      <c r="A16" s="1"/>
      <c r="B16" s="1"/>
      <c r="C16" s="1"/>
      <c r="D16" s="1"/>
      <c r="E16" s="1"/>
      <c r="G16" s="1"/>
      <c r="H16" s="1"/>
      <c r="I16" s="1"/>
      <c r="K16" s="1"/>
      <c r="L16" s="1"/>
      <c r="M16" s="15">
        <v>1</v>
      </c>
      <c r="N16" s="19"/>
      <c r="O16" s="20"/>
      <c r="P16" s="17"/>
      <c r="Q16" s="21"/>
      <c r="R16" s="22"/>
      <c r="S16" s="22"/>
      <c r="T16" s="22"/>
      <c r="U16" s="22"/>
      <c r="V16" s="1"/>
      <c r="W16" s="1"/>
      <c r="X16" s="15"/>
      <c r="Y16" s="19" t="s">
        <v>4</v>
      </c>
      <c r="Z16" s="20"/>
      <c r="AA16" s="17">
        <v>2</v>
      </c>
      <c r="AB16" s="21"/>
      <c r="AC16" s="22"/>
      <c r="AD16" s="22"/>
      <c r="AE16" s="22"/>
      <c r="AF16" s="22"/>
      <c r="AG16" s="1"/>
      <c r="AH16" s="1"/>
      <c r="AI16" s="15"/>
      <c r="AJ16" s="19"/>
      <c r="AK16" s="20"/>
      <c r="AL16" s="17"/>
      <c r="AM16" s="21"/>
      <c r="AN16" s="22"/>
      <c r="AO16" s="22"/>
      <c r="AP16" s="22"/>
      <c r="AQ16" s="22"/>
      <c r="AR16" s="1"/>
      <c r="AS16" s="1"/>
      <c r="AT16" s="15"/>
      <c r="AU16" s="19"/>
      <c r="AV16" s="20"/>
      <c r="AW16" s="17"/>
      <c r="AX16" s="21"/>
      <c r="AY16" s="22"/>
      <c r="AZ16" s="22"/>
      <c r="BA16" s="22"/>
      <c r="BB16" s="22"/>
      <c r="BC16" s="1"/>
    </row>
    <row r="17" spans="1:55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5"/>
      <c r="N17" s="19"/>
      <c r="O17" s="20"/>
      <c r="P17" s="17"/>
      <c r="Q17" s="21"/>
      <c r="R17" s="22"/>
      <c r="S17" s="22"/>
      <c r="T17" s="22"/>
      <c r="U17" s="22"/>
      <c r="V17" s="1"/>
      <c r="W17" s="1"/>
      <c r="X17" s="15"/>
      <c r="Y17" s="19"/>
      <c r="Z17" s="20"/>
      <c r="AA17" s="17"/>
      <c r="AB17" s="21"/>
      <c r="AC17" s="22"/>
      <c r="AD17" s="22"/>
      <c r="AE17" s="22"/>
      <c r="AF17" s="22"/>
      <c r="AG17" s="1"/>
      <c r="AH17" s="1"/>
      <c r="AI17" s="15"/>
      <c r="AJ17" s="19"/>
      <c r="AK17" s="20"/>
      <c r="AL17" s="17"/>
      <c r="AM17" s="21"/>
      <c r="AN17" s="22"/>
      <c r="AO17" s="22"/>
      <c r="AP17" s="22"/>
      <c r="AQ17" s="22"/>
      <c r="AR17" s="1"/>
      <c r="AS17" s="1"/>
      <c r="AT17" s="15"/>
      <c r="AU17" s="19"/>
      <c r="AV17" s="20"/>
      <c r="AW17" s="17"/>
      <c r="AX17" s="21"/>
      <c r="AY17" s="22"/>
      <c r="AZ17" s="22"/>
      <c r="BA17" s="22"/>
      <c r="BB17" s="22"/>
      <c r="BC17" s="1"/>
    </row>
    <row r="18" spans="1:55" x14ac:dyDescent="0.25">
      <c r="A18" s="1"/>
      <c r="B18" s="1"/>
      <c r="C18" s="24"/>
      <c r="D18" s="24"/>
      <c r="E18" s="24"/>
      <c r="F18" s="24"/>
      <c r="G18" s="24"/>
      <c r="H18" s="24"/>
      <c r="I18" s="4">
        <f ca="1">SUM(H23:H25)</f>
        <v>2</v>
      </c>
      <c r="J18" s="1"/>
      <c r="K18" s="1"/>
      <c r="L18" s="1"/>
      <c r="M18" s="15"/>
      <c r="N18" s="19"/>
      <c r="O18" s="20"/>
      <c r="P18" s="17"/>
      <c r="Q18" s="21"/>
      <c r="R18" s="22"/>
      <c r="S18" s="22"/>
      <c r="T18" s="22"/>
      <c r="U18" s="22"/>
      <c r="V18" s="1"/>
      <c r="W18" s="1"/>
      <c r="X18" s="15"/>
      <c r="Y18" s="19"/>
      <c r="Z18" s="20"/>
      <c r="AA18" s="17"/>
      <c r="AB18" s="21"/>
      <c r="AC18" s="22"/>
      <c r="AD18" s="22"/>
      <c r="AE18" s="22"/>
      <c r="AF18" s="22"/>
      <c r="AG18" s="1"/>
      <c r="AH18" s="1"/>
      <c r="AI18" s="15"/>
      <c r="AJ18" s="19" t="s">
        <v>4</v>
      </c>
      <c r="AK18" s="20"/>
      <c r="AL18" s="17">
        <v>2</v>
      </c>
      <c r="AM18" s="21"/>
      <c r="AN18" s="22"/>
      <c r="AO18" s="22"/>
      <c r="AP18" s="22"/>
      <c r="AQ18" s="22"/>
      <c r="AR18" s="1"/>
      <c r="AS18" s="1"/>
      <c r="AT18" s="15"/>
      <c r="AU18" s="19"/>
      <c r="AV18" s="20"/>
      <c r="AW18" s="17"/>
      <c r="AX18" s="21"/>
      <c r="AY18" s="22"/>
      <c r="AZ18" s="22"/>
      <c r="BA18" s="22"/>
      <c r="BB18" s="22"/>
      <c r="BC18" s="1"/>
    </row>
    <row r="19" spans="1:55" x14ac:dyDescent="0.25">
      <c r="A19" s="1"/>
      <c r="B19" s="1"/>
      <c r="J19" s="1"/>
      <c r="K19" s="1"/>
      <c r="L19" s="1"/>
      <c r="M19" s="15">
        <v>3</v>
      </c>
      <c r="N19" s="19" t="s">
        <v>4</v>
      </c>
      <c r="O19" s="20"/>
      <c r="P19" s="17">
        <v>3</v>
      </c>
      <c r="Q19" s="21"/>
      <c r="R19" s="22"/>
      <c r="S19" s="22"/>
      <c r="T19" s="22"/>
      <c r="U19" s="22"/>
      <c r="V19" s="1"/>
      <c r="W19" s="1"/>
      <c r="X19" s="15"/>
      <c r="Y19" s="19"/>
      <c r="Z19" s="20"/>
      <c r="AA19" s="17"/>
      <c r="AB19" s="21"/>
      <c r="AC19" s="22"/>
      <c r="AD19" s="22"/>
      <c r="AE19" s="22"/>
      <c r="AF19" s="22"/>
      <c r="AG19" s="1"/>
      <c r="AH19" s="1"/>
      <c r="AI19" s="15"/>
      <c r="AJ19" s="19"/>
      <c r="AK19" s="20"/>
      <c r="AL19" s="17"/>
      <c r="AM19" s="21"/>
      <c r="AN19" s="22"/>
      <c r="AO19" s="22"/>
      <c r="AP19" s="22"/>
      <c r="AQ19" s="22"/>
      <c r="AR19" s="1"/>
      <c r="AS19" s="1"/>
      <c r="AT19" s="15"/>
      <c r="AU19" s="19"/>
      <c r="AV19" s="20"/>
      <c r="AW19" s="17"/>
      <c r="AX19" s="21"/>
      <c r="AY19" s="22"/>
      <c r="AZ19" s="22"/>
      <c r="BA19" s="22"/>
      <c r="BB19" s="22"/>
      <c r="BC19" s="1"/>
    </row>
    <row r="20" spans="1:55" x14ac:dyDescent="0.25">
      <c r="A20" s="1"/>
      <c r="B20" s="1"/>
      <c r="C20" s="1"/>
      <c r="D20" s="1"/>
      <c r="E20" s="1"/>
      <c r="F20" s="1"/>
      <c r="K20" s="1"/>
      <c r="L20" s="1"/>
      <c r="M20" s="15"/>
      <c r="N20" s="19"/>
      <c r="O20" s="20"/>
      <c r="P20" s="17"/>
      <c r="Q20" s="21"/>
      <c r="R20" s="22"/>
      <c r="S20" s="22"/>
      <c r="T20" s="22"/>
      <c r="U20" s="22"/>
      <c r="V20" s="1"/>
      <c r="W20" s="1"/>
      <c r="X20" s="15">
        <v>31</v>
      </c>
      <c r="Y20" s="19"/>
      <c r="Z20" s="20"/>
      <c r="AA20" s="17"/>
      <c r="AB20" s="21"/>
      <c r="AC20" s="22"/>
      <c r="AD20" s="22"/>
      <c r="AE20" s="22"/>
      <c r="AF20" s="22"/>
      <c r="AG20" s="1"/>
      <c r="AH20" s="1"/>
      <c r="AI20" s="15"/>
      <c r="AJ20" s="19"/>
      <c r="AK20" s="20"/>
      <c r="AL20" s="17"/>
      <c r="AM20" s="21"/>
      <c r="AN20" s="22"/>
      <c r="AO20" s="22"/>
      <c r="AP20" s="22"/>
      <c r="AQ20" s="22"/>
      <c r="AR20" s="1"/>
      <c r="AS20" s="1"/>
      <c r="AT20" s="15"/>
      <c r="AU20" s="19"/>
      <c r="AV20" s="20"/>
      <c r="AW20" s="17"/>
      <c r="AX20" s="21"/>
      <c r="AY20" s="22"/>
      <c r="AZ20" s="22"/>
      <c r="BA20" s="22"/>
      <c r="BB20" s="22"/>
      <c r="BC20" s="1"/>
    </row>
    <row r="21" spans="1:55" x14ac:dyDescent="0.25">
      <c r="A21" s="1"/>
      <c r="B21" s="1"/>
      <c r="C21" s="1"/>
      <c r="D21" s="1"/>
      <c r="E21" s="1"/>
      <c r="F21" s="1"/>
      <c r="K21" s="1"/>
      <c r="L21" s="1"/>
      <c r="M21" s="15"/>
      <c r="N21" s="19"/>
      <c r="O21" s="20"/>
      <c r="P21" s="17"/>
      <c r="Q21" s="21"/>
      <c r="R21" s="22"/>
      <c r="S21" s="22"/>
      <c r="T21" s="22"/>
      <c r="U21" s="22"/>
      <c r="V21" s="1"/>
      <c r="W21" s="1"/>
      <c r="X21" s="15"/>
      <c r="Y21" s="19"/>
      <c r="Z21" s="20"/>
      <c r="AA21" s="17"/>
      <c r="AB21" s="21"/>
      <c r="AC21" s="22"/>
      <c r="AD21" s="22"/>
      <c r="AE21" s="22"/>
      <c r="AF21" s="22"/>
      <c r="AG21" s="1"/>
      <c r="AH21" s="1"/>
      <c r="AI21" s="15"/>
      <c r="AJ21" s="19"/>
      <c r="AK21" s="20"/>
      <c r="AL21" s="17"/>
      <c r="AM21" s="21"/>
      <c r="AN21" s="22"/>
      <c r="AO21" s="22"/>
      <c r="AP21" s="22"/>
      <c r="AQ21" s="22"/>
      <c r="AR21" s="1"/>
      <c r="AS21" s="1"/>
      <c r="AT21" s="15"/>
      <c r="AU21" s="19"/>
      <c r="AV21" s="20"/>
      <c r="AW21" s="17"/>
      <c r="AX21" s="21"/>
      <c r="AY21" s="22"/>
      <c r="AZ21" s="22"/>
      <c r="BA21" s="22"/>
      <c r="BB21" s="22"/>
      <c r="BC21" s="1"/>
    </row>
    <row r="22" spans="1:55" ht="15.75" thickBot="1" x14ac:dyDescent="0.3">
      <c r="A22" s="1"/>
      <c r="B22" s="1"/>
      <c r="C22" s="1"/>
      <c r="D22" s="1"/>
      <c r="E22" s="1"/>
      <c r="F22" s="1"/>
      <c r="K22" s="1"/>
      <c r="L22" s="1"/>
      <c r="M22" s="15"/>
      <c r="N22" s="19"/>
      <c r="O22" s="20"/>
      <c r="P22" s="17"/>
      <c r="Q22" s="21"/>
      <c r="R22" s="22"/>
      <c r="S22" s="22"/>
      <c r="T22" s="22"/>
      <c r="U22" s="22"/>
      <c r="V22" s="1"/>
      <c r="W22" s="1"/>
      <c r="X22" s="15"/>
      <c r="Y22" s="19"/>
      <c r="Z22" s="20"/>
      <c r="AA22" s="17"/>
      <c r="AB22" s="21"/>
      <c r="AC22" s="22"/>
      <c r="AD22" s="22"/>
      <c r="AE22" s="22"/>
      <c r="AF22" s="22"/>
      <c r="AG22" s="1"/>
      <c r="AH22" s="1"/>
      <c r="AI22" s="15"/>
      <c r="AJ22" s="19"/>
      <c r="AK22" s="20"/>
      <c r="AL22" s="17"/>
      <c r="AM22" s="21"/>
      <c r="AN22" s="22"/>
      <c r="AO22" s="22"/>
      <c r="AP22" s="22"/>
      <c r="AQ22" s="22"/>
      <c r="AR22" s="1"/>
      <c r="AS22" s="1"/>
      <c r="AT22" s="15"/>
      <c r="AU22" s="19"/>
      <c r="AV22" s="20"/>
      <c r="AW22" s="17"/>
      <c r="AX22" s="21"/>
      <c r="AY22" s="22"/>
      <c r="AZ22" s="22"/>
      <c r="BA22" s="22"/>
      <c r="BB22" s="22"/>
      <c r="BC22" s="1"/>
    </row>
    <row r="23" spans="1:55" x14ac:dyDescent="0.25">
      <c r="A23" s="1"/>
      <c r="B23" s="1"/>
      <c r="C23" s="1"/>
      <c r="D23" s="1"/>
      <c r="E23" s="1"/>
      <c r="F23" s="1"/>
      <c r="H23" s="8">
        <f ca="1">SUM('Mapping table_2'!G12:J18)</f>
        <v>0</v>
      </c>
      <c r="I23" s="9">
        <f ca="1">H23/$I$18</f>
        <v>0</v>
      </c>
      <c r="J23" s="7"/>
      <c r="K23" s="1"/>
      <c r="L23" s="1"/>
      <c r="M23" s="15"/>
      <c r="N23" s="19"/>
      <c r="O23" s="20"/>
      <c r="P23" s="17"/>
      <c r="Q23" s="21"/>
      <c r="R23" s="22"/>
      <c r="S23" s="22"/>
      <c r="T23" s="22"/>
      <c r="U23" s="22"/>
      <c r="V23" s="1"/>
      <c r="W23" s="1"/>
      <c r="X23" s="15"/>
      <c r="Y23" s="19"/>
      <c r="Z23" s="20"/>
      <c r="AA23" s="17"/>
      <c r="AB23" s="21"/>
      <c r="AC23" s="22"/>
      <c r="AD23" s="22"/>
      <c r="AE23" s="22"/>
      <c r="AF23" s="22"/>
      <c r="AG23" s="1"/>
      <c r="AH23" s="1"/>
      <c r="AI23" s="15"/>
      <c r="AJ23" s="19"/>
      <c r="AK23" s="20"/>
      <c r="AL23" s="17"/>
      <c r="AM23" s="21"/>
      <c r="AN23" s="22"/>
      <c r="AO23" s="22"/>
      <c r="AP23" s="22"/>
      <c r="AQ23" s="22"/>
      <c r="AR23" s="1"/>
      <c r="AS23" s="1"/>
      <c r="AT23" s="15"/>
      <c r="AU23" s="19"/>
      <c r="AV23" s="20"/>
      <c r="AW23" s="17"/>
      <c r="AX23" s="21"/>
      <c r="AY23" s="22"/>
      <c r="AZ23" s="22"/>
      <c r="BA23" s="22"/>
      <c r="BB23" s="22"/>
      <c r="BC23" s="1"/>
    </row>
    <row r="24" spans="1:55" x14ac:dyDescent="0.25">
      <c r="A24" s="1"/>
      <c r="B24" s="1"/>
      <c r="C24" s="1"/>
      <c r="D24" s="1"/>
      <c r="E24" s="1"/>
      <c r="F24" s="1"/>
      <c r="H24" s="10">
        <f ca="1">SUM('Mapping table_2'!G5:J11)</f>
        <v>2</v>
      </c>
      <c r="I24" s="11">
        <f ca="1">H24/$I$18</f>
        <v>1</v>
      </c>
      <c r="J24" s="7"/>
      <c r="K24" s="1"/>
      <c r="L24" s="1"/>
      <c r="M24" s="15"/>
      <c r="N24" s="19" t="s">
        <v>4</v>
      </c>
      <c r="O24" s="20"/>
      <c r="P24" s="17">
        <v>2</v>
      </c>
      <c r="Q24" s="21"/>
      <c r="R24" s="22"/>
      <c r="S24" s="22"/>
      <c r="T24" s="22"/>
      <c r="U24" s="22"/>
      <c r="V24" s="1"/>
      <c r="W24" s="1"/>
      <c r="X24" s="15"/>
      <c r="Y24" s="19"/>
      <c r="Z24" s="20"/>
      <c r="AA24" s="17"/>
      <c r="AB24" s="21"/>
      <c r="AC24" s="22"/>
      <c r="AD24" s="22"/>
      <c r="AE24" s="22"/>
      <c r="AF24" s="22"/>
      <c r="AG24" s="1"/>
      <c r="AH24" s="1"/>
      <c r="AI24" s="15"/>
      <c r="AJ24" s="19"/>
      <c r="AK24" s="20"/>
      <c r="AL24" s="17"/>
      <c r="AM24" s="21"/>
      <c r="AN24" s="22"/>
      <c r="AO24" s="22"/>
      <c r="AP24" s="22"/>
      <c r="AQ24" s="22"/>
      <c r="AR24" s="1"/>
      <c r="AS24" s="1"/>
      <c r="AT24" s="15"/>
      <c r="AU24" s="19"/>
      <c r="AV24" s="20"/>
      <c r="AW24" s="17"/>
      <c r="AX24" s="21"/>
      <c r="AY24" s="22"/>
      <c r="AZ24" s="22"/>
      <c r="BA24" s="22"/>
      <c r="BB24" s="22"/>
      <c r="BC24" s="1"/>
    </row>
    <row r="25" spans="1:55" ht="15.75" thickBot="1" x14ac:dyDescent="0.3">
      <c r="A25" s="1"/>
      <c r="B25" s="1"/>
      <c r="C25" s="1"/>
      <c r="D25" s="1"/>
      <c r="E25" s="1"/>
      <c r="F25" s="1"/>
      <c r="H25" s="12">
        <f ca="1">SUM('Mapping table_2'!G19:J21)</f>
        <v>0</v>
      </c>
      <c r="I25" s="13">
        <f ca="1">H25/$I$18</f>
        <v>0</v>
      </c>
      <c r="J25" s="7"/>
      <c r="K25" s="1"/>
      <c r="L25" s="1"/>
      <c r="M25" s="15"/>
      <c r="N25" s="19"/>
      <c r="O25" s="20"/>
      <c r="P25" s="17"/>
      <c r="Q25" s="21"/>
      <c r="R25" s="22"/>
      <c r="S25" s="22"/>
      <c r="T25" s="22"/>
      <c r="U25" s="22"/>
      <c r="V25" s="1"/>
      <c r="W25" s="1"/>
      <c r="X25" s="15"/>
      <c r="Y25" s="19"/>
      <c r="Z25" s="20"/>
      <c r="AA25" s="17"/>
      <c r="AB25" s="21"/>
      <c r="AC25" s="22"/>
      <c r="AD25" s="22"/>
      <c r="AE25" s="22"/>
      <c r="AF25" s="22"/>
      <c r="AG25" s="1"/>
      <c r="AH25" s="1"/>
      <c r="AI25" s="15"/>
      <c r="AJ25" s="19"/>
      <c r="AK25" s="20"/>
      <c r="AL25" s="17"/>
      <c r="AM25" s="21"/>
      <c r="AN25" s="22"/>
      <c r="AO25" s="22"/>
      <c r="AP25" s="22"/>
      <c r="AQ25" s="22"/>
      <c r="AR25" s="1"/>
      <c r="AS25" s="1"/>
      <c r="AT25" s="15"/>
      <c r="AU25" s="19"/>
      <c r="AV25" s="20"/>
      <c r="AW25" s="17"/>
      <c r="AX25" s="21"/>
      <c r="AY25" s="22"/>
      <c r="AZ25" s="22"/>
      <c r="BA25" s="22"/>
      <c r="BB25" s="22"/>
      <c r="BC25" s="1"/>
    </row>
    <row r="26" spans="1:55" x14ac:dyDescent="0.25">
      <c r="A26" s="1"/>
      <c r="B26" s="1"/>
      <c r="C26" s="1"/>
      <c r="D26" s="1"/>
      <c r="E26" s="1"/>
      <c r="F26" s="1"/>
      <c r="G26" s="1"/>
      <c r="H26" s="14">
        <f ca="1">SUM('Mapping table_2'!G23:J23)</f>
        <v>0</v>
      </c>
      <c r="I26" s="7"/>
      <c r="J26" s="7"/>
      <c r="K26" s="1"/>
      <c r="L26" s="1"/>
      <c r="M26" s="15"/>
      <c r="N26" s="19"/>
      <c r="O26" s="20"/>
      <c r="P26" s="17"/>
      <c r="Q26" s="21"/>
      <c r="R26" s="22"/>
      <c r="S26" s="22"/>
      <c r="T26" s="22"/>
      <c r="U26" s="22"/>
      <c r="V26" s="1"/>
      <c r="W26" s="1"/>
      <c r="X26" s="15"/>
      <c r="Y26" s="19"/>
      <c r="Z26" s="20"/>
      <c r="AA26" s="17"/>
      <c r="AB26" s="21"/>
      <c r="AC26" s="22"/>
      <c r="AD26" s="22"/>
      <c r="AE26" s="22"/>
      <c r="AF26" s="22"/>
      <c r="AG26" s="1"/>
      <c r="AH26" s="1"/>
      <c r="AI26" s="15"/>
      <c r="AJ26" s="19"/>
      <c r="AK26" s="20"/>
      <c r="AL26" s="17"/>
      <c r="AM26" s="21"/>
      <c r="AN26" s="22"/>
      <c r="AO26" s="22"/>
      <c r="AP26" s="22"/>
      <c r="AQ26" s="22"/>
      <c r="AR26" s="1"/>
      <c r="AS26" s="1"/>
      <c r="AT26" s="15"/>
      <c r="AU26" s="19"/>
      <c r="AV26" s="20"/>
      <c r="AW26" s="17"/>
      <c r="AX26" s="21"/>
      <c r="AY26" s="22"/>
      <c r="AZ26" s="22"/>
      <c r="BA26" s="22"/>
      <c r="BB26" s="22"/>
      <c r="BC26" s="1"/>
    </row>
    <row r="27" spans="1:55" x14ac:dyDescent="0.25">
      <c r="A27" s="1"/>
      <c r="B27" s="1"/>
      <c r="C27" s="1"/>
      <c r="D27" s="1"/>
      <c r="E27" s="1"/>
      <c r="F27" s="1"/>
      <c r="G27" s="1"/>
      <c r="H27" s="14">
        <f ca="1">SUM('Mapping table_2'!G24:J24)</f>
        <v>0</v>
      </c>
      <c r="I27" s="7"/>
      <c r="J27" s="7"/>
      <c r="K27" s="1"/>
      <c r="L27" s="1"/>
      <c r="M27" s="15"/>
      <c r="N27" s="19"/>
      <c r="O27" s="20"/>
      <c r="P27" s="17"/>
      <c r="Q27" s="21"/>
      <c r="R27" s="22"/>
      <c r="S27" s="22"/>
      <c r="T27" s="22"/>
      <c r="U27" s="22"/>
      <c r="V27" s="1"/>
      <c r="W27" s="1"/>
      <c r="X27" s="15"/>
      <c r="Y27" s="19"/>
      <c r="Z27" s="20"/>
      <c r="AA27" s="17"/>
      <c r="AB27" s="21"/>
      <c r="AC27" s="22"/>
      <c r="AD27" s="22"/>
      <c r="AE27" s="22"/>
      <c r="AF27" s="22"/>
      <c r="AG27" s="1"/>
      <c r="AH27" s="1"/>
      <c r="AI27" s="15"/>
      <c r="AJ27" s="19"/>
      <c r="AK27" s="20"/>
      <c r="AL27" s="17"/>
      <c r="AM27" s="21"/>
      <c r="AN27" s="22"/>
      <c r="AO27" s="22"/>
      <c r="AP27" s="22"/>
      <c r="AQ27" s="22"/>
      <c r="AR27" s="1"/>
      <c r="AS27" s="1"/>
      <c r="AT27" s="15"/>
      <c r="AU27" s="19"/>
      <c r="AV27" s="20"/>
      <c r="AW27" s="17"/>
      <c r="AX27" s="21"/>
      <c r="AY27" s="22"/>
      <c r="AZ27" s="22"/>
      <c r="BA27" s="22"/>
      <c r="BB27" s="22"/>
      <c r="BC27" s="1"/>
    </row>
    <row r="28" spans="1:55" x14ac:dyDescent="0.25">
      <c r="A28" s="1"/>
      <c r="B28" s="1"/>
      <c r="C28" s="1"/>
      <c r="D28" s="1"/>
      <c r="E28" s="1"/>
      <c r="F28" s="1"/>
      <c r="G28" s="1"/>
      <c r="H28" s="14">
        <f ca="1">SUM('Mapping table_2'!G25:J25)</f>
        <v>0</v>
      </c>
      <c r="I28" s="7"/>
      <c r="J28" s="7"/>
      <c r="K28" s="1"/>
      <c r="L28" s="1"/>
      <c r="M28" s="15"/>
      <c r="N28" s="19"/>
      <c r="O28" s="20"/>
      <c r="P28" s="17"/>
      <c r="Q28" s="21"/>
      <c r="R28" s="22"/>
      <c r="S28" s="22"/>
      <c r="T28" s="22"/>
      <c r="U28" s="22"/>
      <c r="V28" s="1"/>
      <c r="W28" s="1"/>
      <c r="X28" s="15"/>
      <c r="Y28" s="19"/>
      <c r="Z28" s="20"/>
      <c r="AA28" s="17"/>
      <c r="AB28" s="21"/>
      <c r="AC28" s="22"/>
      <c r="AD28" s="22"/>
      <c r="AE28" s="22"/>
      <c r="AF28" s="22"/>
      <c r="AG28" s="1"/>
      <c r="AH28" s="1"/>
      <c r="AI28" s="15"/>
      <c r="AJ28" s="19"/>
      <c r="AK28" s="20"/>
      <c r="AL28" s="17"/>
      <c r="AM28" s="21"/>
      <c r="AN28" s="22"/>
      <c r="AO28" s="22"/>
      <c r="AP28" s="22"/>
      <c r="AQ28" s="22"/>
      <c r="AR28" s="1"/>
      <c r="AS28" s="1"/>
      <c r="AT28" s="15"/>
      <c r="AU28" s="19"/>
      <c r="AV28" s="20"/>
      <c r="AW28" s="17"/>
      <c r="AX28" s="21"/>
      <c r="AY28" s="22"/>
      <c r="AZ28" s="22"/>
      <c r="BA28" s="22"/>
      <c r="BB28" s="22"/>
      <c r="BC28" s="1"/>
    </row>
    <row r="29" spans="1:55" x14ac:dyDescent="0.25">
      <c r="A29" s="1"/>
      <c r="B29" s="1"/>
      <c r="C29" s="1"/>
      <c r="D29" s="1"/>
      <c r="E29" s="1"/>
      <c r="F29" s="1"/>
      <c r="G29" s="1"/>
      <c r="H29" s="14">
        <f ca="1">SUM('Mapping table_2'!G26:J26)</f>
        <v>10</v>
      </c>
      <c r="I29" s="7"/>
      <c r="J29" s="7"/>
      <c r="K29" s="1"/>
      <c r="L29" s="1"/>
      <c r="M29" s="15"/>
      <c r="N29" s="19"/>
      <c r="O29" s="20"/>
      <c r="P29" s="17"/>
      <c r="Q29" s="21"/>
      <c r="R29" s="22"/>
      <c r="S29" s="22"/>
      <c r="T29" s="22"/>
      <c r="U29" s="22"/>
      <c r="V29" s="1"/>
      <c r="W29" s="1"/>
      <c r="X29" s="15"/>
      <c r="Y29" s="19"/>
      <c r="Z29" s="20"/>
      <c r="AA29" s="17"/>
      <c r="AB29" s="21"/>
      <c r="AC29" s="22"/>
      <c r="AD29" s="22"/>
      <c r="AE29" s="22"/>
      <c r="AF29" s="22"/>
      <c r="AG29" s="1"/>
      <c r="AH29" s="1"/>
      <c r="AI29" s="15"/>
      <c r="AJ29" s="19"/>
      <c r="AK29" s="20"/>
      <c r="AL29" s="17"/>
      <c r="AM29" s="21"/>
      <c r="AN29" s="22"/>
      <c r="AO29" s="22"/>
      <c r="AP29" s="22"/>
      <c r="AQ29" s="22"/>
      <c r="AR29" s="1"/>
      <c r="AS29" s="1"/>
      <c r="AT29" s="15"/>
      <c r="AU29" s="19"/>
      <c r="AV29" s="20"/>
      <c r="AW29" s="17"/>
      <c r="AX29" s="21"/>
      <c r="AY29" s="22"/>
      <c r="AZ29" s="22"/>
      <c r="BA29" s="22"/>
      <c r="BB29" s="22"/>
      <c r="BC29" s="1"/>
    </row>
    <row r="30" spans="1:55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5"/>
      <c r="N30" s="19"/>
      <c r="O30" s="20"/>
      <c r="P30" s="17"/>
      <c r="Q30" s="21"/>
      <c r="R30" s="22"/>
      <c r="S30" s="22"/>
      <c r="T30" s="22"/>
      <c r="U30" s="22"/>
      <c r="V30" s="1"/>
      <c r="W30" s="1"/>
      <c r="X30" s="15"/>
      <c r="Y30" s="19"/>
      <c r="Z30" s="20"/>
      <c r="AA30" s="17"/>
      <c r="AB30" s="21"/>
      <c r="AC30" s="22"/>
      <c r="AD30" s="22"/>
      <c r="AE30" s="22"/>
      <c r="AF30" s="22"/>
      <c r="AG30" s="1"/>
      <c r="AH30" s="1"/>
      <c r="AI30" s="15"/>
      <c r="AJ30" s="19"/>
      <c r="AK30" s="20"/>
      <c r="AL30" s="17"/>
      <c r="AM30" s="21"/>
      <c r="AN30" s="22"/>
      <c r="AO30" s="22"/>
      <c r="AP30" s="22"/>
      <c r="AQ30" s="22"/>
      <c r="AR30" s="1"/>
      <c r="AS30" s="1"/>
      <c r="AT30" s="15"/>
      <c r="AU30" s="19"/>
      <c r="AV30" s="20"/>
      <c r="AW30" s="17"/>
      <c r="AX30" s="21"/>
      <c r="AY30" s="22"/>
      <c r="AZ30" s="22"/>
      <c r="BA30" s="22"/>
      <c r="BB30" s="22"/>
      <c r="BC30" s="1"/>
    </row>
    <row r="31" spans="1:55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5"/>
      <c r="N31" s="19"/>
      <c r="O31" s="20"/>
      <c r="P31" s="17"/>
      <c r="Q31" s="21"/>
      <c r="R31" s="22"/>
      <c r="S31" s="22"/>
      <c r="T31" s="22"/>
      <c r="U31" s="22"/>
      <c r="V31" s="1"/>
      <c r="W31" s="1"/>
      <c r="X31" s="15"/>
      <c r="Y31" s="19"/>
      <c r="Z31" s="20"/>
      <c r="AA31" s="17"/>
      <c r="AB31" s="21"/>
      <c r="AC31" s="22"/>
      <c r="AD31" s="22"/>
      <c r="AE31" s="22"/>
      <c r="AF31" s="22"/>
      <c r="AG31" s="1"/>
      <c r="AH31" s="1"/>
      <c r="AI31" s="15"/>
      <c r="AJ31" s="19"/>
      <c r="AK31" s="20"/>
      <c r="AL31" s="17"/>
      <c r="AM31" s="21"/>
      <c r="AN31" s="22"/>
      <c r="AO31" s="22"/>
      <c r="AP31" s="22"/>
      <c r="AQ31" s="22"/>
      <c r="AR31" s="1"/>
      <c r="AS31" s="1"/>
      <c r="AT31" s="15"/>
      <c r="AU31" s="19"/>
      <c r="AV31" s="20"/>
      <c r="AW31" s="17"/>
      <c r="AX31" s="21"/>
      <c r="AY31" s="22"/>
      <c r="AZ31" s="22"/>
      <c r="BA31" s="22"/>
      <c r="BB31" s="22"/>
      <c r="BC31" s="1"/>
    </row>
    <row r="32" spans="1:55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5"/>
      <c r="N32" s="19"/>
      <c r="O32" s="20"/>
      <c r="P32" s="17"/>
      <c r="Q32" s="21"/>
      <c r="R32" s="22"/>
      <c r="S32" s="22"/>
      <c r="T32" s="22"/>
      <c r="U32" s="22"/>
      <c r="V32" s="1"/>
      <c r="W32" s="1"/>
      <c r="X32" s="15"/>
      <c r="Y32" s="19"/>
      <c r="Z32" s="20"/>
      <c r="AA32" s="17"/>
      <c r="AB32" s="21"/>
      <c r="AC32" s="22"/>
      <c r="AD32" s="22"/>
      <c r="AE32" s="22"/>
      <c r="AF32" s="22"/>
      <c r="AG32" s="1"/>
      <c r="AH32" s="1"/>
      <c r="AI32" s="15"/>
      <c r="AJ32" s="19"/>
      <c r="AK32" s="20"/>
      <c r="AL32" s="17"/>
      <c r="AM32" s="21"/>
      <c r="AN32" s="22"/>
      <c r="AO32" s="22"/>
      <c r="AP32" s="22"/>
      <c r="AQ32" s="22"/>
      <c r="AR32" s="1"/>
      <c r="AS32" s="1"/>
      <c r="AT32" s="15"/>
      <c r="AU32" s="19"/>
      <c r="AV32" s="20"/>
      <c r="AW32" s="17"/>
      <c r="AX32" s="21"/>
      <c r="AY32" s="22"/>
      <c r="AZ32" s="22"/>
      <c r="BA32" s="22"/>
      <c r="BB32" s="22"/>
      <c r="BC32" s="1"/>
    </row>
    <row r="33" spans="1:55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5"/>
      <c r="N33" s="19"/>
      <c r="O33" s="20"/>
      <c r="P33" s="17"/>
      <c r="Q33" s="21"/>
      <c r="R33" s="22"/>
      <c r="S33" s="22"/>
      <c r="T33" s="22"/>
      <c r="U33" s="22"/>
      <c r="V33" s="1"/>
      <c r="W33" s="1"/>
      <c r="X33" s="15"/>
      <c r="Y33" s="19"/>
      <c r="Z33" s="20"/>
      <c r="AA33" s="17"/>
      <c r="AB33" s="21"/>
      <c r="AC33" s="22"/>
      <c r="AD33" s="22"/>
      <c r="AE33" s="22"/>
      <c r="AF33" s="22"/>
      <c r="AG33" s="1"/>
      <c r="AH33" s="1"/>
      <c r="AI33" s="15"/>
      <c r="AJ33" s="19"/>
      <c r="AK33" s="20"/>
      <c r="AL33" s="17"/>
      <c r="AM33" s="21"/>
      <c r="AN33" s="22"/>
      <c r="AO33" s="22"/>
      <c r="AP33" s="22"/>
      <c r="AQ33" s="22"/>
      <c r="AR33" s="1"/>
      <c r="AS33" s="1"/>
      <c r="AT33" s="15"/>
      <c r="AU33" s="19"/>
      <c r="AV33" s="20"/>
      <c r="AW33" s="17"/>
      <c r="AX33" s="21"/>
      <c r="AY33" s="22"/>
      <c r="AZ33" s="22"/>
      <c r="BA33" s="22"/>
      <c r="BB33" s="22"/>
      <c r="BC33" s="1"/>
    </row>
    <row r="34" spans="1:55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5"/>
      <c r="N34" s="19"/>
      <c r="O34" s="20"/>
      <c r="P34" s="17"/>
      <c r="Q34" s="21"/>
      <c r="R34" s="22"/>
      <c r="S34" s="22"/>
      <c r="T34" s="22"/>
      <c r="U34" s="22"/>
      <c r="V34" s="1"/>
      <c r="W34" s="1"/>
      <c r="X34" s="15"/>
      <c r="Y34" s="19"/>
      <c r="Z34" s="20"/>
      <c r="AA34" s="17"/>
      <c r="AB34" s="21"/>
      <c r="AC34" s="22"/>
      <c r="AD34" s="22"/>
      <c r="AE34" s="22"/>
      <c r="AF34" s="22"/>
      <c r="AG34" s="1"/>
      <c r="AH34" s="1"/>
      <c r="AI34" s="15"/>
      <c r="AJ34" s="19"/>
      <c r="AK34" s="20"/>
      <c r="AL34" s="17"/>
      <c r="AM34" s="21"/>
      <c r="AN34" s="22"/>
      <c r="AO34" s="22"/>
      <c r="AP34" s="22"/>
      <c r="AQ34" s="22"/>
      <c r="AR34" s="1"/>
      <c r="AS34" s="1"/>
      <c r="AT34" s="15"/>
      <c r="AU34" s="19"/>
      <c r="AV34" s="20"/>
      <c r="AW34" s="17"/>
      <c r="AX34" s="21"/>
      <c r="AY34" s="22"/>
      <c r="AZ34" s="22"/>
      <c r="BA34" s="22"/>
      <c r="BB34" s="22"/>
      <c r="BC34" s="1"/>
    </row>
    <row r="35" spans="1:55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5"/>
      <c r="N35" s="19"/>
      <c r="O35" s="20"/>
      <c r="P35" s="17"/>
      <c r="Q35" s="21"/>
      <c r="R35" s="22"/>
      <c r="S35" s="22"/>
      <c r="T35" s="22"/>
      <c r="U35" s="22"/>
      <c r="V35" s="1"/>
      <c r="W35" s="1"/>
      <c r="X35" s="15"/>
      <c r="Y35" s="19"/>
      <c r="Z35" s="20"/>
      <c r="AA35" s="17"/>
      <c r="AB35" s="21"/>
      <c r="AC35" s="22"/>
      <c r="AD35" s="22"/>
      <c r="AE35" s="22"/>
      <c r="AF35" s="22"/>
      <c r="AG35" s="1"/>
      <c r="AH35" s="1"/>
      <c r="AI35" s="15"/>
      <c r="AJ35" s="19"/>
      <c r="AK35" s="20"/>
      <c r="AL35" s="17"/>
      <c r="AM35" s="21"/>
      <c r="AN35" s="22"/>
      <c r="AO35" s="22"/>
      <c r="AP35" s="22"/>
      <c r="AQ35" s="22"/>
      <c r="AR35" s="1"/>
      <c r="AS35" s="1"/>
      <c r="AT35" s="15"/>
      <c r="AU35" s="19"/>
      <c r="AV35" s="20"/>
      <c r="AW35" s="17"/>
      <c r="AX35" s="21"/>
      <c r="AY35" s="22"/>
      <c r="AZ35" s="22"/>
      <c r="BA35" s="22"/>
      <c r="BB35" s="22"/>
      <c r="BC35" s="1"/>
    </row>
    <row r="36" spans="1:55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5"/>
      <c r="N36" s="19"/>
      <c r="O36" s="20"/>
      <c r="P36" s="17"/>
      <c r="Q36" s="21"/>
      <c r="R36" s="22"/>
      <c r="S36" s="22"/>
      <c r="T36" s="22"/>
      <c r="U36" s="22"/>
      <c r="V36" s="1"/>
      <c r="W36" s="1"/>
      <c r="X36" s="15"/>
      <c r="Y36" s="19"/>
      <c r="Z36" s="20"/>
      <c r="AA36" s="17"/>
      <c r="AB36" s="21"/>
      <c r="AC36" s="22"/>
      <c r="AD36" s="22"/>
      <c r="AE36" s="22"/>
      <c r="AF36" s="22"/>
      <c r="AG36" s="1"/>
      <c r="AH36" s="1"/>
      <c r="AI36" s="15"/>
      <c r="AJ36" s="19"/>
      <c r="AK36" s="20"/>
      <c r="AL36" s="17"/>
      <c r="AM36" s="21"/>
      <c r="AN36" s="22"/>
      <c r="AO36" s="22"/>
      <c r="AP36" s="22"/>
      <c r="AQ36" s="22"/>
      <c r="AR36" s="1"/>
      <c r="AS36" s="1"/>
      <c r="AT36" s="15"/>
      <c r="AU36" s="19"/>
      <c r="AV36" s="20"/>
      <c r="AW36" s="17"/>
      <c r="AX36" s="21"/>
      <c r="AY36" s="22"/>
      <c r="AZ36" s="22"/>
      <c r="BA36" s="22"/>
      <c r="BB36" s="22"/>
      <c r="BC36" s="1"/>
    </row>
    <row r="37" spans="1:55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5"/>
      <c r="N37" s="19"/>
      <c r="O37" s="20"/>
      <c r="P37" s="17"/>
      <c r="Q37" s="21"/>
      <c r="R37" s="22"/>
      <c r="S37" s="22"/>
      <c r="T37" s="22"/>
      <c r="U37" s="22"/>
      <c r="V37" s="1"/>
      <c r="W37" s="1"/>
      <c r="X37" s="15"/>
      <c r="Y37" s="19"/>
      <c r="Z37" s="20"/>
      <c r="AA37" s="17"/>
      <c r="AB37" s="21"/>
      <c r="AC37" s="22"/>
      <c r="AD37" s="22"/>
      <c r="AE37" s="22"/>
      <c r="AF37" s="22"/>
      <c r="AG37" s="1"/>
      <c r="AH37" s="1"/>
      <c r="AI37" s="15"/>
      <c r="AJ37" s="19"/>
      <c r="AK37" s="20"/>
      <c r="AL37" s="17"/>
      <c r="AM37" s="21"/>
      <c r="AN37" s="22"/>
      <c r="AO37" s="22"/>
      <c r="AP37" s="22"/>
      <c r="AQ37" s="22"/>
      <c r="AR37" s="1"/>
      <c r="AS37" s="1"/>
      <c r="AT37" s="15"/>
      <c r="AU37" s="19"/>
      <c r="AV37" s="20"/>
      <c r="AW37" s="17"/>
      <c r="AX37" s="21"/>
      <c r="AY37" s="22"/>
      <c r="AZ37" s="22"/>
      <c r="BA37" s="22"/>
      <c r="BB37" s="22"/>
      <c r="BC37" s="1"/>
    </row>
    <row r="38" spans="1:55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5"/>
      <c r="N38" s="19"/>
      <c r="O38" s="20"/>
      <c r="P38" s="17"/>
      <c r="Q38" s="21"/>
      <c r="R38" s="22"/>
      <c r="S38" s="22"/>
      <c r="T38" s="22"/>
      <c r="U38" s="22"/>
      <c r="V38" s="1"/>
      <c r="W38" s="1"/>
      <c r="X38" s="15"/>
      <c r="Y38" s="19"/>
      <c r="Z38" s="20"/>
      <c r="AA38" s="17"/>
      <c r="AB38" s="21"/>
      <c r="AC38" s="22"/>
      <c r="AD38" s="22"/>
      <c r="AE38" s="22"/>
      <c r="AF38" s="22"/>
      <c r="AG38" s="1"/>
      <c r="AH38" s="1"/>
      <c r="AI38" s="15"/>
      <c r="AJ38" s="19"/>
      <c r="AK38" s="20"/>
      <c r="AL38" s="17"/>
      <c r="AM38" s="21"/>
      <c r="AN38" s="22"/>
      <c r="AO38" s="22"/>
      <c r="AP38" s="22"/>
      <c r="AQ38" s="22"/>
      <c r="AR38" s="1"/>
      <c r="AS38" s="1"/>
      <c r="AT38" s="15"/>
      <c r="AU38" s="19"/>
      <c r="AV38" s="20"/>
      <c r="AW38" s="17"/>
      <c r="AX38" s="21"/>
      <c r="AY38" s="22"/>
      <c r="AZ38" s="22"/>
      <c r="BA38" s="22"/>
      <c r="BB38" s="22"/>
      <c r="BC38" s="1"/>
    </row>
    <row r="39" spans="1:55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5"/>
      <c r="N39" s="19"/>
      <c r="O39" s="20"/>
      <c r="P39" s="17"/>
      <c r="Q39" s="21"/>
      <c r="R39" s="22"/>
      <c r="S39" s="22"/>
      <c r="T39" s="22"/>
      <c r="U39" s="22"/>
      <c r="V39" s="1"/>
      <c r="W39" s="1"/>
      <c r="X39" s="15"/>
      <c r="Y39" s="19"/>
      <c r="Z39" s="20"/>
      <c r="AA39" s="17"/>
      <c r="AB39" s="21"/>
      <c r="AC39" s="22"/>
      <c r="AD39" s="22"/>
      <c r="AE39" s="22"/>
      <c r="AF39" s="22"/>
      <c r="AG39" s="1"/>
      <c r="AH39" s="1"/>
      <c r="AI39" s="15"/>
      <c r="AJ39" s="19"/>
      <c r="AK39" s="20"/>
      <c r="AL39" s="17"/>
      <c r="AM39" s="21"/>
      <c r="AN39" s="22"/>
      <c r="AO39" s="22"/>
      <c r="AP39" s="22"/>
      <c r="AQ39" s="22"/>
      <c r="AR39" s="1"/>
      <c r="AS39" s="1"/>
      <c r="AT39" s="15"/>
      <c r="AU39" s="19"/>
      <c r="AV39" s="20"/>
      <c r="AW39" s="17"/>
      <c r="AX39" s="21"/>
      <c r="AY39" s="22"/>
      <c r="AZ39" s="22"/>
      <c r="BA39" s="22"/>
      <c r="BB39" s="22"/>
      <c r="BC39" s="1"/>
    </row>
    <row r="40" spans="1:55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5"/>
      <c r="N40" s="19"/>
      <c r="O40" s="20"/>
      <c r="P40" s="17"/>
      <c r="Q40" s="21"/>
      <c r="R40" s="22"/>
      <c r="S40" s="22"/>
      <c r="T40" s="22"/>
      <c r="U40" s="22"/>
      <c r="V40" s="1"/>
      <c r="W40" s="1"/>
      <c r="X40" s="15"/>
      <c r="Y40" s="19"/>
      <c r="Z40" s="20"/>
      <c r="AA40" s="17"/>
      <c r="AB40" s="21"/>
      <c r="AC40" s="22"/>
      <c r="AD40" s="22"/>
      <c r="AE40" s="22"/>
      <c r="AF40" s="22"/>
      <c r="AG40" s="1"/>
      <c r="AH40" s="1"/>
      <c r="AI40" s="15"/>
      <c r="AJ40" s="19"/>
      <c r="AK40" s="20"/>
      <c r="AL40" s="17"/>
      <c r="AM40" s="21"/>
      <c r="AN40" s="22"/>
      <c r="AO40" s="22"/>
      <c r="AP40" s="22"/>
      <c r="AQ40" s="22"/>
      <c r="AR40" s="1"/>
      <c r="AS40" s="1"/>
      <c r="AT40" s="15"/>
      <c r="AU40" s="19"/>
      <c r="AV40" s="20"/>
      <c r="AW40" s="17"/>
      <c r="AX40" s="21"/>
      <c r="AY40" s="22"/>
      <c r="AZ40" s="22"/>
      <c r="BA40" s="22"/>
      <c r="BB40" s="22"/>
      <c r="BC40" s="1"/>
    </row>
    <row r="41" spans="1:55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5"/>
      <c r="N41" s="19"/>
      <c r="O41" s="20"/>
      <c r="P41" s="17"/>
      <c r="Q41" s="21"/>
      <c r="R41" s="22"/>
      <c r="S41" s="22"/>
      <c r="T41" s="22"/>
      <c r="U41" s="22"/>
      <c r="V41" s="1"/>
      <c r="W41" s="1"/>
      <c r="X41" s="15"/>
      <c r="Y41" s="19"/>
      <c r="Z41" s="20"/>
      <c r="AA41" s="17"/>
      <c r="AB41" s="21"/>
      <c r="AC41" s="22"/>
      <c r="AD41" s="22"/>
      <c r="AE41" s="22"/>
      <c r="AF41" s="22"/>
      <c r="AG41" s="1"/>
      <c r="AH41" s="1"/>
      <c r="AI41" s="15"/>
      <c r="AJ41" s="19"/>
      <c r="AK41" s="20"/>
      <c r="AL41" s="17"/>
      <c r="AM41" s="21"/>
      <c r="AN41" s="22"/>
      <c r="AO41" s="22"/>
      <c r="AP41" s="22"/>
      <c r="AQ41" s="22"/>
      <c r="AR41" s="1"/>
      <c r="AS41" s="1"/>
      <c r="AT41" s="15"/>
      <c r="AU41" s="19"/>
      <c r="AV41" s="20"/>
      <c r="AW41" s="17"/>
      <c r="AX41" s="21"/>
      <c r="AY41" s="22"/>
      <c r="AZ41" s="22"/>
      <c r="BA41" s="22"/>
      <c r="BB41" s="22"/>
      <c r="BC41" s="1"/>
    </row>
    <row r="42" spans="1:55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5"/>
      <c r="N42" s="19"/>
      <c r="O42" s="20"/>
      <c r="P42" s="17"/>
      <c r="Q42" s="21"/>
      <c r="R42" s="22"/>
      <c r="S42" s="22"/>
      <c r="T42" s="22"/>
      <c r="U42" s="22"/>
      <c r="V42" s="1"/>
      <c r="W42" s="1"/>
      <c r="X42" s="15"/>
      <c r="Y42" s="19"/>
      <c r="Z42" s="20"/>
      <c r="AA42" s="17"/>
      <c r="AB42" s="21"/>
      <c r="AC42" s="22"/>
      <c r="AD42" s="22"/>
      <c r="AE42" s="22"/>
      <c r="AF42" s="22"/>
      <c r="AG42" s="1"/>
      <c r="AH42" s="1"/>
      <c r="AI42" s="15"/>
      <c r="AJ42" s="19"/>
      <c r="AK42" s="20"/>
      <c r="AL42" s="17"/>
      <c r="AM42" s="21"/>
      <c r="AN42" s="22"/>
      <c r="AO42" s="22"/>
      <c r="AP42" s="22"/>
      <c r="AQ42" s="22"/>
      <c r="AR42" s="1"/>
      <c r="AS42" s="1"/>
      <c r="AT42" s="15"/>
      <c r="AU42" s="19"/>
      <c r="AV42" s="20"/>
      <c r="AW42" s="17"/>
      <c r="AX42" s="21"/>
      <c r="AY42" s="22"/>
      <c r="AZ42" s="22"/>
      <c r="BA42" s="22"/>
      <c r="BB42" s="22"/>
      <c r="BC42" s="1"/>
    </row>
    <row r="43" spans="1:55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5"/>
      <c r="N43" s="19"/>
      <c r="O43" s="20"/>
      <c r="P43" s="17"/>
      <c r="Q43" s="21"/>
      <c r="R43" s="22"/>
      <c r="S43" s="22"/>
      <c r="T43" s="22"/>
      <c r="U43" s="22"/>
      <c r="V43" s="1"/>
      <c r="W43" s="1"/>
      <c r="X43" s="15"/>
      <c r="Y43" s="19"/>
      <c r="Z43" s="20"/>
      <c r="AA43" s="17"/>
      <c r="AB43" s="21"/>
      <c r="AC43" s="22"/>
      <c r="AD43" s="22"/>
      <c r="AE43" s="22"/>
      <c r="AF43" s="22"/>
      <c r="AG43" s="1"/>
      <c r="AH43" s="1"/>
      <c r="AI43" s="15"/>
      <c r="AJ43" s="19"/>
      <c r="AK43" s="20"/>
      <c r="AL43" s="17"/>
      <c r="AM43" s="21"/>
      <c r="AN43" s="22"/>
      <c r="AO43" s="22"/>
      <c r="AP43" s="22"/>
      <c r="AQ43" s="22"/>
      <c r="AR43" s="1"/>
      <c r="AS43" s="1"/>
      <c r="AT43" s="15"/>
      <c r="AU43" s="19"/>
      <c r="AV43" s="20"/>
      <c r="AW43" s="17"/>
      <c r="AX43" s="21"/>
      <c r="AY43" s="22"/>
      <c r="AZ43" s="22"/>
      <c r="BA43" s="22"/>
      <c r="BB43" s="22"/>
      <c r="BC43" s="1"/>
    </row>
    <row r="44" spans="1:55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5"/>
      <c r="N44" s="19"/>
      <c r="O44" s="20"/>
      <c r="P44" s="17"/>
      <c r="Q44" s="21"/>
      <c r="R44" s="22"/>
      <c r="S44" s="22"/>
      <c r="T44" s="22"/>
      <c r="U44" s="22"/>
      <c r="V44" s="1"/>
      <c r="W44" s="1"/>
      <c r="X44" s="15"/>
      <c r="Y44" s="19"/>
      <c r="Z44" s="20"/>
      <c r="AA44" s="17"/>
      <c r="AB44" s="21"/>
      <c r="AC44" s="22"/>
      <c r="AD44" s="22"/>
      <c r="AE44" s="22"/>
      <c r="AF44" s="22"/>
      <c r="AG44" s="1"/>
      <c r="AH44" s="1"/>
      <c r="AI44" s="15"/>
      <c r="AJ44" s="19"/>
      <c r="AK44" s="20"/>
      <c r="AL44" s="17"/>
      <c r="AM44" s="21"/>
      <c r="AN44" s="22"/>
      <c r="AO44" s="22"/>
      <c r="AP44" s="22"/>
      <c r="AQ44" s="22"/>
      <c r="AR44" s="1"/>
      <c r="AS44" s="1"/>
      <c r="AT44" s="15"/>
      <c r="AU44" s="19"/>
      <c r="AV44" s="20"/>
      <c r="AW44" s="17"/>
      <c r="AX44" s="21"/>
      <c r="AY44" s="22"/>
      <c r="AZ44" s="22"/>
      <c r="BA44" s="22"/>
      <c r="BB44" s="22"/>
      <c r="BC44" s="1"/>
    </row>
    <row r="45" spans="1:55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5"/>
      <c r="N45" s="19"/>
      <c r="O45" s="20"/>
      <c r="P45" s="17"/>
      <c r="Q45" s="21"/>
      <c r="R45" s="22"/>
      <c r="S45" s="22"/>
      <c r="T45" s="22"/>
      <c r="U45" s="22"/>
      <c r="V45" s="1"/>
      <c r="W45" s="1"/>
      <c r="X45" s="15"/>
      <c r="Y45" s="19"/>
      <c r="Z45" s="20"/>
      <c r="AA45" s="17"/>
      <c r="AB45" s="21"/>
      <c r="AC45" s="22"/>
      <c r="AD45" s="22"/>
      <c r="AE45" s="22"/>
      <c r="AF45" s="22"/>
      <c r="AG45" s="1"/>
      <c r="AH45" s="1"/>
      <c r="AI45" s="15"/>
      <c r="AJ45" s="19"/>
      <c r="AK45" s="20"/>
      <c r="AL45" s="17"/>
      <c r="AM45" s="21"/>
      <c r="AN45" s="22"/>
      <c r="AO45" s="22"/>
      <c r="AP45" s="22"/>
      <c r="AQ45" s="22"/>
      <c r="AR45" s="1"/>
      <c r="AS45" s="1"/>
      <c r="AT45" s="15"/>
      <c r="AU45" s="19"/>
      <c r="AV45" s="20"/>
      <c r="AW45" s="17"/>
      <c r="AX45" s="21"/>
      <c r="AY45" s="22"/>
      <c r="AZ45" s="22"/>
      <c r="BA45" s="22"/>
      <c r="BB45" s="22"/>
      <c r="BC45" s="1"/>
    </row>
    <row r="46" spans="1:55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5"/>
      <c r="N46" s="19"/>
      <c r="O46" s="20"/>
      <c r="P46" s="17"/>
      <c r="Q46" s="21"/>
      <c r="R46" s="22"/>
      <c r="S46" s="22"/>
      <c r="T46" s="22"/>
      <c r="U46" s="22"/>
      <c r="V46" s="1"/>
      <c r="W46" s="1"/>
      <c r="X46" s="15"/>
      <c r="Y46" s="19"/>
      <c r="Z46" s="20"/>
      <c r="AA46" s="17"/>
      <c r="AB46" s="21"/>
      <c r="AC46" s="22"/>
      <c r="AD46" s="22"/>
      <c r="AE46" s="22"/>
      <c r="AF46" s="22"/>
      <c r="AG46" s="1"/>
      <c r="AH46" s="1"/>
      <c r="AI46" s="15"/>
      <c r="AJ46" s="19"/>
      <c r="AK46" s="20"/>
      <c r="AL46" s="17"/>
      <c r="AM46" s="21"/>
      <c r="AN46" s="22"/>
      <c r="AO46" s="22"/>
      <c r="AP46" s="22"/>
      <c r="AQ46" s="22"/>
      <c r="AR46" s="1"/>
      <c r="AS46" s="1"/>
      <c r="AT46" s="15"/>
      <c r="AU46" s="19"/>
      <c r="AV46" s="20"/>
      <c r="AW46" s="17"/>
      <c r="AX46" s="21"/>
      <c r="AY46" s="22"/>
      <c r="AZ46" s="22"/>
      <c r="BA46" s="22"/>
      <c r="BB46" s="22"/>
      <c r="BC46" s="1"/>
    </row>
    <row r="47" spans="1:55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5"/>
      <c r="N47" s="19"/>
      <c r="O47" s="20"/>
      <c r="P47" s="17"/>
      <c r="Q47" s="21"/>
      <c r="R47" s="22"/>
      <c r="S47" s="22"/>
      <c r="T47" s="22"/>
      <c r="U47" s="22"/>
      <c r="V47" s="1"/>
      <c r="W47" s="1"/>
      <c r="X47" s="15"/>
      <c r="Y47" s="19"/>
      <c r="Z47" s="20"/>
      <c r="AA47" s="17"/>
      <c r="AB47" s="21"/>
      <c r="AC47" s="22"/>
      <c r="AD47" s="22"/>
      <c r="AE47" s="22"/>
      <c r="AF47" s="22"/>
      <c r="AG47" s="1"/>
      <c r="AH47" s="1"/>
      <c r="AI47" s="15"/>
      <c r="AJ47" s="19"/>
      <c r="AK47" s="20"/>
      <c r="AL47" s="17"/>
      <c r="AM47" s="21"/>
      <c r="AN47" s="22"/>
      <c r="AO47" s="22"/>
      <c r="AP47" s="22"/>
      <c r="AQ47" s="22"/>
      <c r="AR47" s="1"/>
      <c r="AS47" s="1"/>
      <c r="AT47" s="15"/>
      <c r="AU47" s="19"/>
      <c r="AV47" s="20"/>
      <c r="AW47" s="17"/>
      <c r="AX47" s="21"/>
      <c r="AY47" s="22"/>
      <c r="AZ47" s="22"/>
      <c r="BA47" s="22"/>
      <c r="BB47" s="22"/>
      <c r="BC47" s="1"/>
    </row>
    <row r="48" spans="1:55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5"/>
      <c r="N48" s="19"/>
      <c r="O48" s="20"/>
      <c r="P48" s="17"/>
      <c r="Q48" s="21"/>
      <c r="R48" s="22"/>
      <c r="S48" s="22"/>
      <c r="T48" s="22"/>
      <c r="U48" s="22"/>
      <c r="V48" s="1"/>
      <c r="W48" s="1"/>
      <c r="X48" s="15"/>
      <c r="Y48" s="19"/>
      <c r="Z48" s="20"/>
      <c r="AA48" s="17"/>
      <c r="AB48" s="21"/>
      <c r="AC48" s="22"/>
      <c r="AD48" s="22"/>
      <c r="AE48" s="22"/>
      <c r="AF48" s="22"/>
      <c r="AG48" s="1"/>
      <c r="AH48" s="1"/>
      <c r="AI48" s="15"/>
      <c r="AJ48" s="19"/>
      <c r="AK48" s="20"/>
      <c r="AL48" s="17"/>
      <c r="AM48" s="21"/>
      <c r="AN48" s="22"/>
      <c r="AO48" s="22"/>
      <c r="AP48" s="22"/>
      <c r="AQ48" s="22"/>
      <c r="AR48" s="1"/>
      <c r="AS48" s="1"/>
      <c r="AT48" s="15"/>
      <c r="AU48" s="19"/>
      <c r="AV48" s="20"/>
      <c r="AW48" s="17"/>
      <c r="AX48" s="21"/>
      <c r="AY48" s="22"/>
      <c r="AZ48" s="22"/>
      <c r="BA48" s="22"/>
      <c r="BB48" s="22"/>
      <c r="BC48" s="1"/>
    </row>
    <row r="49" spans="1:55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5"/>
      <c r="N49" s="19"/>
      <c r="O49" s="20"/>
      <c r="P49" s="17"/>
      <c r="Q49" s="21"/>
      <c r="R49" s="22"/>
      <c r="S49" s="22"/>
      <c r="T49" s="22"/>
      <c r="U49" s="22"/>
      <c r="V49" s="1"/>
      <c r="W49" s="1"/>
      <c r="X49" s="15"/>
      <c r="Y49" s="19"/>
      <c r="Z49" s="20"/>
      <c r="AA49" s="17"/>
      <c r="AB49" s="21"/>
      <c r="AC49" s="22"/>
      <c r="AD49" s="22"/>
      <c r="AE49" s="22"/>
      <c r="AF49" s="22"/>
      <c r="AG49" s="1"/>
      <c r="AH49" s="1"/>
      <c r="AI49" s="15"/>
      <c r="AJ49" s="19"/>
      <c r="AK49" s="20"/>
      <c r="AL49" s="17"/>
      <c r="AM49" s="21"/>
      <c r="AN49" s="22"/>
      <c r="AO49" s="22"/>
      <c r="AP49" s="22"/>
      <c r="AQ49" s="22"/>
      <c r="AR49" s="1"/>
      <c r="AS49" s="1"/>
      <c r="AT49" s="15"/>
      <c r="AU49" s="19"/>
      <c r="AV49" s="20"/>
      <c r="AW49" s="17"/>
      <c r="AX49" s="21"/>
      <c r="AY49" s="22"/>
      <c r="AZ49" s="22"/>
      <c r="BA49" s="22"/>
      <c r="BB49" s="22"/>
      <c r="BC49" s="1"/>
    </row>
    <row r="50" spans="1:55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5"/>
      <c r="N50" s="19"/>
      <c r="O50" s="20"/>
      <c r="P50" s="17"/>
      <c r="Q50" s="21"/>
      <c r="R50" s="22"/>
      <c r="S50" s="22"/>
      <c r="T50" s="22"/>
      <c r="U50" s="22"/>
      <c r="V50" s="1"/>
      <c r="W50" s="1"/>
      <c r="X50" s="15"/>
      <c r="Y50" s="19"/>
      <c r="Z50" s="20"/>
      <c r="AA50" s="17"/>
      <c r="AB50" s="21"/>
      <c r="AC50" s="22"/>
      <c r="AD50" s="22"/>
      <c r="AE50" s="22"/>
      <c r="AF50" s="22"/>
      <c r="AG50" s="1"/>
      <c r="AH50" s="1"/>
      <c r="AI50" s="15"/>
      <c r="AJ50" s="19"/>
      <c r="AK50" s="20"/>
      <c r="AL50" s="17"/>
      <c r="AM50" s="21"/>
      <c r="AN50" s="22"/>
      <c r="AO50" s="22"/>
      <c r="AP50" s="22"/>
      <c r="AQ50" s="22"/>
      <c r="AR50" s="1"/>
      <c r="AS50" s="1"/>
      <c r="AT50" s="15"/>
      <c r="AU50" s="19"/>
      <c r="AV50" s="20"/>
      <c r="AW50" s="17"/>
      <c r="AX50" s="21"/>
      <c r="AY50" s="22"/>
      <c r="AZ50" s="22"/>
      <c r="BA50" s="22"/>
      <c r="BB50" s="22"/>
      <c r="BC50" s="1"/>
    </row>
    <row r="51" spans="1:55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</row>
    <row r="52" spans="1:55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</row>
    <row r="53" spans="1:55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</row>
  </sheetData>
  <sheetProtection algorithmName="SHA-512" hashValue="m/+cUiQt3TSRQL6PWcuiyctqbab2StWcv7OI0FVRN+x2zaT0uUhkAfpY98352/TPrPXmF11lvIKT3M95qzDKEA==" saltValue="tE/LqAL15hWiOpGpTMGYZQ==" spinCount="100000" sheet="1" objects="1" scenarios="1" selectLockedCells="1"/>
  <mergeCells count="307">
    <mergeCell ref="AU9:AV9"/>
    <mergeCell ref="AX9:BB9"/>
    <mergeCell ref="N14:O14"/>
    <mergeCell ref="Q14:U14"/>
    <mergeCell ref="Y14:Z14"/>
    <mergeCell ref="AB14:AF14"/>
    <mergeCell ref="AJ14:AK14"/>
    <mergeCell ref="AM14:AQ14"/>
    <mergeCell ref="AU14:AV14"/>
    <mergeCell ref="AX14:BB14"/>
    <mergeCell ref="N9:O9"/>
    <mergeCell ref="Q9:U9"/>
    <mergeCell ref="Y9:Z9"/>
    <mergeCell ref="AB9:AF9"/>
    <mergeCell ref="AJ9:AK9"/>
    <mergeCell ref="AM9:AQ9"/>
    <mergeCell ref="AU15:AV15"/>
    <mergeCell ref="AX15:BB15"/>
    <mergeCell ref="N16:O16"/>
    <mergeCell ref="Q16:U16"/>
    <mergeCell ref="Y16:Z16"/>
    <mergeCell ref="AB16:AF16"/>
    <mergeCell ref="AJ16:AK16"/>
    <mergeCell ref="AM16:AQ16"/>
    <mergeCell ref="AU16:AV16"/>
    <mergeCell ref="AX16:BB16"/>
    <mergeCell ref="N15:O15"/>
    <mergeCell ref="Q15:U15"/>
    <mergeCell ref="Y15:Z15"/>
    <mergeCell ref="AB15:AF15"/>
    <mergeCell ref="AJ15:AK15"/>
    <mergeCell ref="AM15:AQ15"/>
    <mergeCell ref="AU17:AV17"/>
    <mergeCell ref="AX17:BB17"/>
    <mergeCell ref="C18:D18"/>
    <mergeCell ref="E18:F18"/>
    <mergeCell ref="G18:H18"/>
    <mergeCell ref="N18:O18"/>
    <mergeCell ref="Q18:U18"/>
    <mergeCell ref="Y18:Z18"/>
    <mergeCell ref="AB18:AF18"/>
    <mergeCell ref="AJ18:AK18"/>
    <mergeCell ref="N17:O17"/>
    <mergeCell ref="Q17:U17"/>
    <mergeCell ref="Y17:Z17"/>
    <mergeCell ref="AB17:AF17"/>
    <mergeCell ref="AJ17:AK17"/>
    <mergeCell ref="AM17:AQ17"/>
    <mergeCell ref="AM18:AQ18"/>
    <mergeCell ref="AU18:AV18"/>
    <mergeCell ref="AX18:BB18"/>
    <mergeCell ref="N19:O19"/>
    <mergeCell ref="Q19:U19"/>
    <mergeCell ref="Y19:Z19"/>
    <mergeCell ref="AB19:AF19"/>
    <mergeCell ref="AJ19:AK19"/>
    <mergeCell ref="AM19:AQ19"/>
    <mergeCell ref="AU19:AV19"/>
    <mergeCell ref="AX19:BB19"/>
    <mergeCell ref="N20:O20"/>
    <mergeCell ref="Q20:U20"/>
    <mergeCell ref="Y20:Z20"/>
    <mergeCell ref="AB20:AF20"/>
    <mergeCell ref="AJ20:AK20"/>
    <mergeCell ref="AM20:AQ20"/>
    <mergeCell ref="AU20:AV20"/>
    <mergeCell ref="AX20:BB20"/>
    <mergeCell ref="AU21:AV21"/>
    <mergeCell ref="AX21:BB21"/>
    <mergeCell ref="N22:O22"/>
    <mergeCell ref="Q22:U22"/>
    <mergeCell ref="Y22:Z22"/>
    <mergeCell ref="AB22:AF22"/>
    <mergeCell ref="AJ22:AK22"/>
    <mergeCell ref="AM22:AQ22"/>
    <mergeCell ref="AU22:AV22"/>
    <mergeCell ref="AX22:BB22"/>
    <mergeCell ref="N21:O21"/>
    <mergeCell ref="Q21:U21"/>
    <mergeCell ref="Y21:Z21"/>
    <mergeCell ref="AB21:AF21"/>
    <mergeCell ref="AJ21:AK21"/>
    <mergeCell ref="AM21:AQ21"/>
    <mergeCell ref="AU23:AV23"/>
    <mergeCell ref="AX23:BB23"/>
    <mergeCell ref="N24:O24"/>
    <mergeCell ref="Q24:U24"/>
    <mergeCell ref="Y24:Z24"/>
    <mergeCell ref="AB24:AF24"/>
    <mergeCell ref="AJ24:AK24"/>
    <mergeCell ref="AM24:AQ24"/>
    <mergeCell ref="AU24:AV24"/>
    <mergeCell ref="AX24:BB24"/>
    <mergeCell ref="N23:O23"/>
    <mergeCell ref="Q23:U23"/>
    <mergeCell ref="Y23:Z23"/>
    <mergeCell ref="AB23:AF23"/>
    <mergeCell ref="AJ23:AK23"/>
    <mergeCell ref="AM23:AQ23"/>
    <mergeCell ref="AU25:AV25"/>
    <mergeCell ref="AX25:BB25"/>
    <mergeCell ref="N26:O26"/>
    <mergeCell ref="Q26:U26"/>
    <mergeCell ref="Y26:Z26"/>
    <mergeCell ref="AB26:AF26"/>
    <mergeCell ref="AJ26:AK26"/>
    <mergeCell ref="AM26:AQ26"/>
    <mergeCell ref="AU26:AV26"/>
    <mergeCell ref="AX26:BB26"/>
    <mergeCell ref="N25:O25"/>
    <mergeCell ref="Q25:U25"/>
    <mergeCell ref="Y25:Z25"/>
    <mergeCell ref="AB25:AF25"/>
    <mergeCell ref="AJ25:AK25"/>
    <mergeCell ref="AM25:AQ25"/>
    <mergeCell ref="AU27:AV27"/>
    <mergeCell ref="AX27:BB27"/>
    <mergeCell ref="N28:O28"/>
    <mergeCell ref="Q28:U28"/>
    <mergeCell ref="Y28:Z28"/>
    <mergeCell ref="AB28:AF28"/>
    <mergeCell ref="AJ28:AK28"/>
    <mergeCell ref="AM28:AQ28"/>
    <mergeCell ref="AU28:AV28"/>
    <mergeCell ref="AX28:BB28"/>
    <mergeCell ref="N27:O27"/>
    <mergeCell ref="Q27:U27"/>
    <mergeCell ref="Y27:Z27"/>
    <mergeCell ref="AB27:AF27"/>
    <mergeCell ref="AJ27:AK27"/>
    <mergeCell ref="AM27:AQ27"/>
    <mergeCell ref="AU29:AV29"/>
    <mergeCell ref="AX29:BB29"/>
    <mergeCell ref="N30:O30"/>
    <mergeCell ref="Q30:U30"/>
    <mergeCell ref="Y30:Z30"/>
    <mergeCell ref="AB30:AF30"/>
    <mergeCell ref="AJ30:AK30"/>
    <mergeCell ref="AM30:AQ30"/>
    <mergeCell ref="AU30:AV30"/>
    <mergeCell ref="AX30:BB30"/>
    <mergeCell ref="N29:O29"/>
    <mergeCell ref="Q29:U29"/>
    <mergeCell ref="Y29:Z29"/>
    <mergeCell ref="AB29:AF29"/>
    <mergeCell ref="AJ29:AK29"/>
    <mergeCell ref="AM29:AQ29"/>
    <mergeCell ref="AU31:AV31"/>
    <mergeCell ref="AX31:BB31"/>
    <mergeCell ref="N32:O32"/>
    <mergeCell ref="Q32:U32"/>
    <mergeCell ref="Y32:Z32"/>
    <mergeCell ref="AB32:AF32"/>
    <mergeCell ref="AJ32:AK32"/>
    <mergeCell ref="AM32:AQ32"/>
    <mergeCell ref="AU32:AV32"/>
    <mergeCell ref="AX32:BB32"/>
    <mergeCell ref="N31:O31"/>
    <mergeCell ref="Q31:U31"/>
    <mergeCell ref="Y31:Z31"/>
    <mergeCell ref="AB31:AF31"/>
    <mergeCell ref="AJ31:AK31"/>
    <mergeCell ref="AM31:AQ31"/>
    <mergeCell ref="AU33:AV33"/>
    <mergeCell ref="AX33:BB33"/>
    <mergeCell ref="N34:O34"/>
    <mergeCell ref="Q34:U34"/>
    <mergeCell ref="Y34:Z34"/>
    <mergeCell ref="AB34:AF34"/>
    <mergeCell ref="AJ34:AK34"/>
    <mergeCell ref="AM34:AQ34"/>
    <mergeCell ref="AU34:AV34"/>
    <mergeCell ref="AX34:BB34"/>
    <mergeCell ref="N33:O33"/>
    <mergeCell ref="Q33:U33"/>
    <mergeCell ref="Y33:Z33"/>
    <mergeCell ref="AB33:AF33"/>
    <mergeCell ref="AJ33:AK33"/>
    <mergeCell ref="AM33:AQ33"/>
    <mergeCell ref="AU35:AV35"/>
    <mergeCell ref="AX35:BB35"/>
    <mergeCell ref="N36:O36"/>
    <mergeCell ref="Q36:U36"/>
    <mergeCell ref="Y36:Z36"/>
    <mergeCell ref="AB36:AF36"/>
    <mergeCell ref="AJ36:AK36"/>
    <mergeCell ref="AM36:AQ36"/>
    <mergeCell ref="AU36:AV36"/>
    <mergeCell ref="AX36:BB36"/>
    <mergeCell ref="N35:O35"/>
    <mergeCell ref="Q35:U35"/>
    <mergeCell ref="Y35:Z35"/>
    <mergeCell ref="AB35:AF35"/>
    <mergeCell ref="AJ35:AK35"/>
    <mergeCell ref="AM35:AQ35"/>
    <mergeCell ref="AU37:AV37"/>
    <mergeCell ref="AX37:BB37"/>
    <mergeCell ref="N38:O38"/>
    <mergeCell ref="Q38:U38"/>
    <mergeCell ref="Y38:Z38"/>
    <mergeCell ref="AB38:AF38"/>
    <mergeCell ref="AJ38:AK38"/>
    <mergeCell ref="AM38:AQ38"/>
    <mergeCell ref="AU38:AV38"/>
    <mergeCell ref="AX38:BB38"/>
    <mergeCell ref="N37:O37"/>
    <mergeCell ref="Q37:U37"/>
    <mergeCell ref="Y37:Z37"/>
    <mergeCell ref="AB37:AF37"/>
    <mergeCell ref="AJ37:AK37"/>
    <mergeCell ref="AM37:AQ37"/>
    <mergeCell ref="AU39:AV39"/>
    <mergeCell ref="AX39:BB39"/>
    <mergeCell ref="N40:O40"/>
    <mergeCell ref="Q40:U40"/>
    <mergeCell ref="Y40:Z40"/>
    <mergeCell ref="AB40:AF40"/>
    <mergeCell ref="AJ40:AK40"/>
    <mergeCell ref="AM40:AQ40"/>
    <mergeCell ref="AU40:AV40"/>
    <mergeCell ref="AX40:BB40"/>
    <mergeCell ref="N39:O39"/>
    <mergeCell ref="Q39:U39"/>
    <mergeCell ref="Y39:Z39"/>
    <mergeCell ref="AB39:AF39"/>
    <mergeCell ref="AJ39:AK39"/>
    <mergeCell ref="AM39:AQ39"/>
    <mergeCell ref="AU41:AV41"/>
    <mergeCell ref="AX41:BB41"/>
    <mergeCell ref="N42:O42"/>
    <mergeCell ref="Q42:U42"/>
    <mergeCell ref="Y42:Z42"/>
    <mergeCell ref="AB42:AF42"/>
    <mergeCell ref="AJ42:AK42"/>
    <mergeCell ref="AM42:AQ42"/>
    <mergeCell ref="AU42:AV42"/>
    <mergeCell ref="AX42:BB42"/>
    <mergeCell ref="N41:O41"/>
    <mergeCell ref="Q41:U41"/>
    <mergeCell ref="Y41:Z41"/>
    <mergeCell ref="AB41:AF41"/>
    <mergeCell ref="AJ41:AK41"/>
    <mergeCell ref="AM41:AQ41"/>
    <mergeCell ref="AU43:AV43"/>
    <mergeCell ref="AX43:BB43"/>
    <mergeCell ref="N44:O44"/>
    <mergeCell ref="Q44:U44"/>
    <mergeCell ref="Y44:Z44"/>
    <mergeCell ref="AB44:AF44"/>
    <mergeCell ref="AJ44:AK44"/>
    <mergeCell ref="AM44:AQ44"/>
    <mergeCell ref="AU44:AV44"/>
    <mergeCell ref="AX44:BB44"/>
    <mergeCell ref="N43:O43"/>
    <mergeCell ref="Q43:U43"/>
    <mergeCell ref="Y43:Z43"/>
    <mergeCell ref="AB43:AF43"/>
    <mergeCell ref="AJ43:AK43"/>
    <mergeCell ref="AM43:AQ43"/>
    <mergeCell ref="AU45:AV45"/>
    <mergeCell ref="AX45:BB45"/>
    <mergeCell ref="N46:O46"/>
    <mergeCell ref="Q46:U46"/>
    <mergeCell ref="Y46:Z46"/>
    <mergeCell ref="AB46:AF46"/>
    <mergeCell ref="AJ46:AK46"/>
    <mergeCell ref="AM46:AQ46"/>
    <mergeCell ref="AU46:AV46"/>
    <mergeCell ref="AX46:BB46"/>
    <mergeCell ref="N45:O45"/>
    <mergeCell ref="Q45:U45"/>
    <mergeCell ref="Y45:Z45"/>
    <mergeCell ref="AB45:AF45"/>
    <mergeCell ref="AJ45:AK45"/>
    <mergeCell ref="AM45:AQ45"/>
    <mergeCell ref="AU47:AV47"/>
    <mergeCell ref="AX47:BB47"/>
    <mergeCell ref="N48:O48"/>
    <mergeCell ref="Q48:U48"/>
    <mergeCell ref="Y48:Z48"/>
    <mergeCell ref="AB48:AF48"/>
    <mergeCell ref="AJ48:AK48"/>
    <mergeCell ref="AM48:AQ48"/>
    <mergeCell ref="AU48:AV48"/>
    <mergeCell ref="AX48:BB48"/>
    <mergeCell ref="N47:O47"/>
    <mergeCell ref="Q47:U47"/>
    <mergeCell ref="Y47:Z47"/>
    <mergeCell ref="AB47:AF47"/>
    <mergeCell ref="AJ47:AK47"/>
    <mergeCell ref="AM47:AQ47"/>
    <mergeCell ref="AU49:AV49"/>
    <mergeCell ref="AX49:BB49"/>
    <mergeCell ref="N50:O50"/>
    <mergeCell ref="Q50:U50"/>
    <mergeCell ref="Y50:Z50"/>
    <mergeCell ref="AB50:AF50"/>
    <mergeCell ref="AJ50:AK50"/>
    <mergeCell ref="AM50:AQ50"/>
    <mergeCell ref="AU50:AV50"/>
    <mergeCell ref="AX50:BB50"/>
    <mergeCell ref="N49:O49"/>
    <mergeCell ref="Q49:U49"/>
    <mergeCell ref="Y49:Z49"/>
    <mergeCell ref="AB49:AF49"/>
    <mergeCell ref="AJ49:AK49"/>
    <mergeCell ref="AM49:AQ49"/>
  </mergeCells>
  <conditionalFormatting sqref="M14:M50 X14:X51 AI14:AI50 AT14:AT50">
    <cfRule type="duplicateValues" dxfId="3" priority="1"/>
  </conditionalFormatting>
  <dataValidations count="1">
    <dataValidation type="list" allowBlank="1" showInputMessage="1" showErrorMessage="1" sqref="AJ10:AK13 N10:O13 AU10:AV13 Y10:Z13" xr:uid="{554E1056-EE0B-4D5C-BFAB-3CE981BD9B9B}">
      <formula1>#REF!</formula1>
    </dataValidation>
  </dataValidations>
  <printOptions horizontalCentered="1" verticalCentered="1"/>
  <pageMargins left="0.15" right="0.15" top="0.15" bottom="0.15" header="0.15" footer="0.15"/>
  <pageSetup orientation="portrait" horizontalDpi="300" verticalDpi="300" r:id="rId1"/>
  <headerFooter scaleWithDoc="0"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EB9B350-8807-409A-85AE-3ADF7CBAC6F5}">
          <x14:formula1>
            <xm:f>'Mapping table_1'!$F$5:$F$22</xm:f>
          </x14:formula1>
          <xm:sqref>Y14:Z50 AU14:AV50 AJ14:AK50</xm:sqref>
        </x14:dataValidation>
        <x14:dataValidation type="list" allowBlank="1" showInputMessage="1" showErrorMessage="1" xr:uid="{B52FF3D5-E859-44F2-8515-AEC8160DB528}">
          <x14:formula1>
            <xm:f>'Mapping table_1'!$F$5:$F$26</xm:f>
          </x14:formula1>
          <xm:sqref>N14:O50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24A5A-8B49-4244-B79A-AD5C10CE3D18}">
  <sheetPr codeName="Sheet5"/>
  <dimension ref="D3:J27"/>
  <sheetViews>
    <sheetView workbookViewId="0">
      <selection sqref="A1:XFD1048576"/>
    </sheetView>
  </sheetViews>
  <sheetFormatPr defaultRowHeight="15" x14ac:dyDescent="0.25"/>
  <cols>
    <col min="5" max="5" width="18.42578125" bestFit="1" customWidth="1"/>
    <col min="6" max="6" width="16.85546875" bestFit="1" customWidth="1"/>
    <col min="16" max="16" width="8.85546875" bestFit="1" customWidth="1"/>
    <col min="17" max="17" width="14.5703125" bestFit="1" customWidth="1"/>
    <col min="18" max="18" width="224.5703125" bestFit="1" customWidth="1"/>
  </cols>
  <sheetData>
    <row r="3" spans="4:10" x14ac:dyDescent="0.25">
      <c r="E3" s="25" t="s">
        <v>5</v>
      </c>
      <c r="F3" s="25"/>
      <c r="G3" s="25"/>
      <c r="H3" s="25"/>
      <c r="I3" s="25"/>
      <c r="J3" s="25"/>
    </row>
    <row r="4" spans="4:10" x14ac:dyDescent="0.25">
      <c r="D4" t="s">
        <v>19</v>
      </c>
      <c r="E4" t="s">
        <v>8</v>
      </c>
      <c r="F4" t="s">
        <v>20</v>
      </c>
      <c r="G4" s="6" t="s">
        <v>17</v>
      </c>
      <c r="H4" s="2" t="s">
        <v>6</v>
      </c>
      <c r="I4" s="2" t="s">
        <v>7</v>
      </c>
      <c r="J4" s="2" t="s">
        <v>18</v>
      </c>
    </row>
    <row r="5" spans="4:10" x14ac:dyDescent="0.25">
      <c r="D5">
        <v>1</v>
      </c>
      <c r="E5" t="s">
        <v>9</v>
      </c>
      <c r="F5" t="s">
        <v>25</v>
      </c>
      <c r="G5" s="2" cm="1">
        <f t="array" aca="1" ref="G5:G26" ca="1">SUMIF('February 2025'!N14:P50,'Mapping table_2'!F5:F26,'February 2025'!P14:P50)</f>
        <v>0</v>
      </c>
      <c r="H5" s="2" cm="1">
        <f t="array" aca="1" ref="H5:H26" ca="1">SUMIF('February 2025'!Y14:AA50,'Mapping table_2'!F5:F26,'February 2025'!AA14:AA50)</f>
        <v>0</v>
      </c>
      <c r="I5" s="2" cm="1">
        <f t="array" aca="1" ref="I5:I26" ca="1">SUMIF('February 2025'!AJ14:AL50,'Mapping table_2'!F5:F26,'February 2025'!AL14:AL50)</f>
        <v>0</v>
      </c>
      <c r="J5" s="2" cm="1">
        <f t="array" aca="1" ref="J5:J26" ca="1">SUMIF('February 2025'!AU14:AW50,'Mapping table_2'!F5:F26,'February 2025'!AW14:AW50)</f>
        <v>0</v>
      </c>
    </row>
    <row r="6" spans="4:10" x14ac:dyDescent="0.25">
      <c r="D6">
        <v>2</v>
      </c>
      <c r="E6" t="s">
        <v>9</v>
      </c>
      <c r="F6" t="s">
        <v>26</v>
      </c>
      <c r="G6" s="2">
        <f ca="1"/>
        <v>2</v>
      </c>
      <c r="H6" s="2">
        <f ca="1"/>
        <v>0</v>
      </c>
      <c r="I6" s="2">
        <f ca="1"/>
        <v>0</v>
      </c>
      <c r="J6" s="2">
        <f ca="1"/>
        <v>0</v>
      </c>
    </row>
    <row r="7" spans="4:10" x14ac:dyDescent="0.25">
      <c r="D7">
        <v>3</v>
      </c>
      <c r="E7" t="s">
        <v>9</v>
      </c>
      <c r="F7" t="s">
        <v>27</v>
      </c>
      <c r="G7" s="2">
        <f ca="1"/>
        <v>0</v>
      </c>
      <c r="H7" s="2">
        <f ca="1"/>
        <v>0</v>
      </c>
      <c r="I7" s="2">
        <f ca="1"/>
        <v>0</v>
      </c>
      <c r="J7" s="2">
        <f ca="1"/>
        <v>0</v>
      </c>
    </row>
    <row r="8" spans="4:10" x14ac:dyDescent="0.25">
      <c r="D8">
        <v>4</v>
      </c>
      <c r="E8" t="s">
        <v>9</v>
      </c>
      <c r="F8" t="s">
        <v>28</v>
      </c>
      <c r="G8" s="2">
        <f ca="1"/>
        <v>0</v>
      </c>
      <c r="H8" s="2">
        <f ca="1"/>
        <v>0</v>
      </c>
      <c r="I8" s="2">
        <f ca="1"/>
        <v>0</v>
      </c>
      <c r="J8" s="2">
        <f ca="1"/>
        <v>0</v>
      </c>
    </row>
    <row r="9" spans="4:10" x14ac:dyDescent="0.25">
      <c r="D9">
        <v>5</v>
      </c>
      <c r="E9" t="s">
        <v>9</v>
      </c>
      <c r="F9" t="s">
        <v>29</v>
      </c>
      <c r="G9" s="2">
        <f ca="1"/>
        <v>0</v>
      </c>
      <c r="H9" s="2">
        <f ca="1"/>
        <v>0</v>
      </c>
      <c r="I9" s="2">
        <f ca="1"/>
        <v>0</v>
      </c>
      <c r="J9" s="2">
        <f ca="1"/>
        <v>0</v>
      </c>
    </row>
    <row r="10" spans="4:10" x14ac:dyDescent="0.25">
      <c r="D10">
        <v>6</v>
      </c>
      <c r="E10" t="s">
        <v>9</v>
      </c>
      <c r="F10" t="s">
        <v>30</v>
      </c>
      <c r="G10" s="2">
        <f ca="1"/>
        <v>0</v>
      </c>
      <c r="H10" s="2">
        <f ca="1"/>
        <v>0</v>
      </c>
      <c r="I10" s="2">
        <f ca="1"/>
        <v>0</v>
      </c>
      <c r="J10" s="2">
        <f ca="1"/>
        <v>0</v>
      </c>
    </row>
    <row r="11" spans="4:10" x14ac:dyDescent="0.25">
      <c r="D11">
        <v>7</v>
      </c>
      <c r="E11" t="s">
        <v>9</v>
      </c>
      <c r="F11" t="s">
        <v>31</v>
      </c>
      <c r="G11" s="2">
        <f ca="1"/>
        <v>0</v>
      </c>
      <c r="H11" s="2">
        <f ca="1"/>
        <v>0</v>
      </c>
      <c r="I11" s="2">
        <f ca="1"/>
        <v>0</v>
      </c>
      <c r="J11" s="2">
        <f ca="1"/>
        <v>0</v>
      </c>
    </row>
    <row r="12" spans="4:10" x14ac:dyDescent="0.25">
      <c r="D12">
        <v>8</v>
      </c>
      <c r="E12" t="s">
        <v>10</v>
      </c>
      <c r="F12" t="s">
        <v>21</v>
      </c>
      <c r="G12" s="2">
        <f ca="1"/>
        <v>0</v>
      </c>
      <c r="H12" s="2">
        <f ca="1"/>
        <v>0</v>
      </c>
      <c r="I12" s="2">
        <f ca="1"/>
        <v>0</v>
      </c>
      <c r="J12" s="2">
        <f ca="1"/>
        <v>0</v>
      </c>
    </row>
    <row r="13" spans="4:10" x14ac:dyDescent="0.25">
      <c r="D13">
        <v>9</v>
      </c>
      <c r="E13" t="s">
        <v>10</v>
      </c>
      <c r="F13" t="s">
        <v>22</v>
      </c>
      <c r="G13" s="2">
        <f ca="1"/>
        <v>0</v>
      </c>
      <c r="H13" s="2">
        <f ca="1"/>
        <v>0</v>
      </c>
      <c r="I13" s="2">
        <f ca="1"/>
        <v>0</v>
      </c>
      <c r="J13" s="2">
        <f ca="1"/>
        <v>0</v>
      </c>
    </row>
    <row r="14" spans="4:10" x14ac:dyDescent="0.25">
      <c r="D14">
        <v>10</v>
      </c>
      <c r="E14" t="s">
        <v>10</v>
      </c>
      <c r="F14" t="s">
        <v>23</v>
      </c>
      <c r="G14" s="2">
        <f ca="1"/>
        <v>0</v>
      </c>
      <c r="H14" s="2">
        <f ca="1"/>
        <v>0</v>
      </c>
      <c r="I14" s="2">
        <f ca="1"/>
        <v>0</v>
      </c>
      <c r="J14" s="2">
        <f ca="1"/>
        <v>0</v>
      </c>
    </row>
    <row r="15" spans="4:10" x14ac:dyDescent="0.25">
      <c r="D15">
        <v>11</v>
      </c>
      <c r="E15" t="s">
        <v>10</v>
      </c>
      <c r="F15" t="s">
        <v>24</v>
      </c>
      <c r="G15" s="2">
        <f ca="1"/>
        <v>0</v>
      </c>
      <c r="H15" s="2">
        <f ca="1"/>
        <v>0</v>
      </c>
      <c r="I15" s="2">
        <f ca="1"/>
        <v>0</v>
      </c>
      <c r="J15" s="2">
        <f ca="1"/>
        <v>0</v>
      </c>
    </row>
    <row r="16" spans="4:10" x14ac:dyDescent="0.25">
      <c r="D16">
        <v>12</v>
      </c>
      <c r="E16" t="s">
        <v>10</v>
      </c>
      <c r="F16" t="s">
        <v>11</v>
      </c>
      <c r="G16" s="2">
        <f ca="1"/>
        <v>0</v>
      </c>
      <c r="H16" s="2">
        <f ca="1"/>
        <v>0</v>
      </c>
      <c r="I16" s="2">
        <f ca="1"/>
        <v>0</v>
      </c>
      <c r="J16" s="2">
        <f ca="1"/>
        <v>0</v>
      </c>
    </row>
    <row r="17" spans="4:10" x14ac:dyDescent="0.25">
      <c r="D17">
        <v>13</v>
      </c>
      <c r="E17" t="s">
        <v>10</v>
      </c>
      <c r="F17" t="s">
        <v>32</v>
      </c>
      <c r="G17" s="2">
        <f ca="1"/>
        <v>0</v>
      </c>
      <c r="H17" s="2">
        <f ca="1"/>
        <v>0</v>
      </c>
      <c r="I17" s="2">
        <f ca="1"/>
        <v>0</v>
      </c>
      <c r="J17" s="2">
        <f ca="1"/>
        <v>0</v>
      </c>
    </row>
    <row r="18" spans="4:10" x14ac:dyDescent="0.25">
      <c r="D18">
        <v>14</v>
      </c>
      <c r="E18" t="s">
        <v>10</v>
      </c>
      <c r="F18" t="s">
        <v>33</v>
      </c>
      <c r="G18" s="2">
        <f ca="1"/>
        <v>0</v>
      </c>
      <c r="H18" s="2">
        <f ca="1"/>
        <v>0</v>
      </c>
      <c r="I18" s="2">
        <f ca="1"/>
        <v>0</v>
      </c>
      <c r="J18" s="2">
        <f ca="1"/>
        <v>0</v>
      </c>
    </row>
    <row r="19" spans="4:10" x14ac:dyDescent="0.25">
      <c r="D19">
        <v>15</v>
      </c>
      <c r="E19" t="s">
        <v>12</v>
      </c>
      <c r="F19" t="s">
        <v>13</v>
      </c>
      <c r="G19" s="2">
        <f ca="1"/>
        <v>0</v>
      </c>
      <c r="H19" s="2">
        <f ca="1"/>
        <v>0</v>
      </c>
      <c r="I19" s="2">
        <f ca="1"/>
        <v>0</v>
      </c>
      <c r="J19" s="2">
        <f ca="1"/>
        <v>0</v>
      </c>
    </row>
    <row r="20" spans="4:10" x14ac:dyDescent="0.25">
      <c r="D20">
        <v>16</v>
      </c>
      <c r="E20" t="s">
        <v>12</v>
      </c>
      <c r="F20" t="s">
        <v>14</v>
      </c>
      <c r="G20" s="2">
        <f ca="1"/>
        <v>0</v>
      </c>
      <c r="H20" s="2">
        <f ca="1"/>
        <v>0</v>
      </c>
      <c r="I20" s="2">
        <f ca="1"/>
        <v>0</v>
      </c>
      <c r="J20" s="2">
        <f ca="1"/>
        <v>0</v>
      </c>
    </row>
    <row r="21" spans="4:10" x14ac:dyDescent="0.25">
      <c r="D21">
        <v>17</v>
      </c>
      <c r="E21" t="s">
        <v>12</v>
      </c>
      <c r="F21" t="s">
        <v>15</v>
      </c>
      <c r="G21" s="2">
        <f ca="1"/>
        <v>0</v>
      </c>
      <c r="H21" s="2">
        <f ca="1"/>
        <v>0</v>
      </c>
      <c r="I21" s="2">
        <f ca="1"/>
        <v>0</v>
      </c>
      <c r="J21" s="2">
        <f ca="1"/>
        <v>0</v>
      </c>
    </row>
    <row r="22" spans="4:10" x14ac:dyDescent="0.25">
      <c r="D22">
        <v>18</v>
      </c>
      <c r="E22" t="s">
        <v>16</v>
      </c>
      <c r="F22" t="s">
        <v>0</v>
      </c>
      <c r="G22" s="2">
        <f ca="1"/>
        <v>0</v>
      </c>
      <c r="H22" s="2">
        <f ca="1"/>
        <v>0</v>
      </c>
      <c r="I22" s="2">
        <f ca="1"/>
        <v>0</v>
      </c>
      <c r="J22" s="2">
        <f ca="1"/>
        <v>0</v>
      </c>
    </row>
    <row r="23" spans="4:10" x14ac:dyDescent="0.25">
      <c r="D23">
        <v>19</v>
      </c>
      <c r="E23" t="s">
        <v>16</v>
      </c>
      <c r="F23" t="s">
        <v>1</v>
      </c>
      <c r="G23" s="2">
        <f ca="1"/>
        <v>0</v>
      </c>
      <c r="H23" s="2">
        <f ca="1"/>
        <v>0</v>
      </c>
      <c r="I23" s="2">
        <f ca="1"/>
        <v>0</v>
      </c>
      <c r="J23" s="2">
        <f ca="1"/>
        <v>0</v>
      </c>
    </row>
    <row r="24" spans="4:10" x14ac:dyDescent="0.25">
      <c r="D24">
        <v>20</v>
      </c>
      <c r="E24" t="s">
        <v>16</v>
      </c>
      <c r="F24" t="s">
        <v>2</v>
      </c>
      <c r="G24" s="2">
        <f ca="1"/>
        <v>0</v>
      </c>
      <c r="H24" s="2">
        <f ca="1"/>
        <v>0</v>
      </c>
      <c r="I24" s="2">
        <f ca="1"/>
        <v>0</v>
      </c>
      <c r="J24" s="2">
        <f ca="1"/>
        <v>0</v>
      </c>
    </row>
    <row r="25" spans="4:10" x14ac:dyDescent="0.25">
      <c r="D25">
        <v>21</v>
      </c>
      <c r="E25" t="s">
        <v>16</v>
      </c>
      <c r="F25" t="s">
        <v>3</v>
      </c>
      <c r="G25" s="2">
        <f ca="1"/>
        <v>0</v>
      </c>
      <c r="H25" s="2">
        <f ca="1"/>
        <v>0</v>
      </c>
      <c r="I25" s="2">
        <f ca="1"/>
        <v>0</v>
      </c>
      <c r="J25" s="2">
        <f ca="1"/>
        <v>0</v>
      </c>
    </row>
    <row r="26" spans="4:10" x14ac:dyDescent="0.25">
      <c r="D26">
        <v>22</v>
      </c>
      <c r="E26" t="s">
        <v>16</v>
      </c>
      <c r="F26" t="s">
        <v>4</v>
      </c>
      <c r="G26" s="2">
        <f ca="1"/>
        <v>6</v>
      </c>
      <c r="H26" s="2">
        <f ca="1"/>
        <v>2</v>
      </c>
      <c r="I26" s="2">
        <f ca="1"/>
        <v>2</v>
      </c>
      <c r="J26" s="2">
        <f ca="1"/>
        <v>0</v>
      </c>
    </row>
    <row r="27" spans="4:10" x14ac:dyDescent="0.25">
      <c r="G27">
        <f ca="1">SUM(_xlfn.ANCHORARRAY(G5))</f>
        <v>8</v>
      </c>
      <c r="H27">
        <f t="shared" ref="H27:J27" ca="1" si="0">SUM(_xlfn.ANCHORARRAY(H5))</f>
        <v>2</v>
      </c>
      <c r="I27">
        <f t="shared" ca="1" si="0"/>
        <v>2</v>
      </c>
      <c r="J27">
        <f t="shared" ca="1" si="0"/>
        <v>0</v>
      </c>
    </row>
  </sheetData>
  <sheetProtection algorithmName="SHA-512" hashValue="eQW8mds6cNhPpPTxptweaC31QW8UsX+xB5iLaPGwpvn7FStHNzIhllXy7xnpajiNm4lrLJ+xkgCCW+4M2PfCxg==" saltValue="CcyLyDs8CWRzBxauR6eT9Q==" spinCount="100000" sheet="1" objects="1" scenarios="1" selectLockedCells="1"/>
  <mergeCells count="1">
    <mergeCell ref="E3:J3"/>
  </mergeCells>
  <conditionalFormatting sqref="F5:F26">
    <cfRule type="duplicateValues" dxfId="2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32DFD-6041-425F-87A2-43FDD33AAD22}">
  <sheetPr codeName="Sheet4"/>
  <dimension ref="A1:BC53"/>
  <sheetViews>
    <sheetView showGridLines="0" view="pageBreakPreview" zoomScale="80" zoomScaleNormal="60" zoomScaleSheetLayoutView="80" zoomScalePageLayoutView="70" workbookViewId="0">
      <selection activeCell="N20" sqref="N20:O20"/>
    </sheetView>
  </sheetViews>
  <sheetFormatPr defaultRowHeight="15" x14ac:dyDescent="0.25"/>
  <cols>
    <col min="2" max="2" width="10.42578125" customWidth="1"/>
    <col min="4" max="4" width="11" customWidth="1"/>
    <col min="10" max="10" width="8" customWidth="1"/>
  </cols>
  <sheetData>
    <row r="1" spans="1:5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</row>
    <row r="2" spans="1:55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</row>
    <row r="3" spans="1:55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</row>
    <row r="4" spans="1:55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</row>
    <row r="5" spans="1:55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</row>
    <row r="6" spans="1:55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</row>
    <row r="7" spans="1:55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</row>
    <row r="8" spans="1:55" x14ac:dyDescent="0.25">
      <c r="A8" s="1"/>
      <c r="B8" s="1"/>
      <c r="C8" s="1"/>
      <c r="D8" s="1"/>
      <c r="E8" s="1"/>
      <c r="F8" s="1"/>
      <c r="G8" s="1"/>
      <c r="H8" s="1"/>
      <c r="I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</row>
    <row r="9" spans="1:55" x14ac:dyDescent="0.25">
      <c r="A9" s="1"/>
      <c r="B9" s="1"/>
      <c r="C9" s="1"/>
      <c r="D9" s="1"/>
      <c r="E9" s="1"/>
      <c r="F9" s="1"/>
      <c r="G9" s="1"/>
      <c r="H9" s="1"/>
      <c r="I9" s="1"/>
      <c r="K9" s="1"/>
      <c r="L9" s="1"/>
      <c r="M9" s="18"/>
      <c r="N9" s="23"/>
      <c r="O9" s="23"/>
      <c r="P9" s="18"/>
      <c r="Q9" s="23"/>
      <c r="R9" s="23"/>
      <c r="S9" s="23"/>
      <c r="T9" s="23"/>
      <c r="U9" s="23"/>
      <c r="V9" s="1"/>
      <c r="W9" s="1"/>
      <c r="X9" s="18"/>
      <c r="Y9" s="23"/>
      <c r="Z9" s="23"/>
      <c r="AA9" s="18"/>
      <c r="AB9" s="23"/>
      <c r="AC9" s="23"/>
      <c r="AD9" s="23"/>
      <c r="AE9" s="23"/>
      <c r="AF9" s="23"/>
      <c r="AG9" s="1"/>
      <c r="AH9" s="1"/>
      <c r="AI9" s="18"/>
      <c r="AJ9" s="23"/>
      <c r="AK9" s="23"/>
      <c r="AL9" s="18"/>
      <c r="AM9" s="23"/>
      <c r="AN9" s="23"/>
      <c r="AO9" s="23"/>
      <c r="AP9" s="23"/>
      <c r="AQ9" s="23"/>
      <c r="AR9" s="1"/>
      <c r="AS9" s="1"/>
      <c r="AT9" s="18"/>
      <c r="AU9" s="23"/>
      <c r="AV9" s="23"/>
      <c r="AW9" s="18"/>
      <c r="AX9" s="23"/>
      <c r="AY9" s="23"/>
      <c r="AZ9" s="23"/>
      <c r="BA9" s="23"/>
      <c r="BB9" s="23"/>
      <c r="BC9" s="1"/>
    </row>
    <row r="10" spans="1:55" x14ac:dyDescent="0.25">
      <c r="A10" s="1"/>
      <c r="B10" s="1"/>
      <c r="C10" s="1"/>
      <c r="D10" s="1"/>
      <c r="E10" s="1"/>
      <c r="F10" s="1"/>
      <c r="G10" s="1"/>
      <c r="H10" s="1"/>
      <c r="I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</row>
    <row r="11" spans="1:55" x14ac:dyDescent="0.25">
      <c r="A11" s="1"/>
      <c r="B11" s="1"/>
      <c r="C11" s="1"/>
      <c r="D11" s="1"/>
      <c r="E11" s="1"/>
      <c r="F11" s="1"/>
      <c r="G11" s="1"/>
      <c r="H11" s="1"/>
      <c r="I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</row>
    <row r="12" spans="1:55" x14ac:dyDescent="0.25">
      <c r="A12" s="1"/>
      <c r="B12" s="1"/>
      <c r="C12" s="1"/>
      <c r="D12" s="1"/>
      <c r="E12" s="1"/>
      <c r="F12" s="1"/>
      <c r="G12" s="1"/>
      <c r="H12" s="1"/>
      <c r="I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</row>
    <row r="13" spans="1:55" ht="15.75" thickBot="1" x14ac:dyDescent="0.3">
      <c r="A13" s="1"/>
      <c r="B13" s="1"/>
      <c r="C13" s="1"/>
      <c r="D13" s="1"/>
      <c r="E13" s="1"/>
      <c r="F13" s="1"/>
      <c r="G13" s="1"/>
      <c r="H13" s="1"/>
      <c r="I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</row>
    <row r="14" spans="1:55" x14ac:dyDescent="0.25">
      <c r="A14" s="1"/>
      <c r="B14" s="1"/>
      <c r="C14" s="1"/>
      <c r="D14" s="1"/>
      <c r="E14" s="1"/>
      <c r="F14" s="1"/>
      <c r="G14" s="1"/>
      <c r="H14" s="1"/>
      <c r="I14" s="1"/>
      <c r="K14" s="1"/>
      <c r="L14" s="1"/>
      <c r="M14" s="15"/>
      <c r="N14" s="19" t="s">
        <v>13</v>
      </c>
      <c r="O14" s="20"/>
      <c r="P14" s="16">
        <v>3</v>
      </c>
      <c r="Q14" s="21"/>
      <c r="R14" s="22"/>
      <c r="S14" s="22"/>
      <c r="T14" s="22"/>
      <c r="U14" s="22"/>
      <c r="V14" s="1"/>
      <c r="W14" s="1"/>
      <c r="X14" s="15"/>
      <c r="Y14" s="19"/>
      <c r="Z14" s="20"/>
      <c r="AA14" s="16"/>
      <c r="AB14" s="21"/>
      <c r="AC14" s="22"/>
      <c r="AD14" s="22"/>
      <c r="AE14" s="22"/>
      <c r="AF14" s="22"/>
      <c r="AG14" s="1"/>
      <c r="AH14" s="1"/>
      <c r="AI14" s="15"/>
      <c r="AJ14" s="19"/>
      <c r="AK14" s="20"/>
      <c r="AL14" s="16"/>
      <c r="AM14" s="21"/>
      <c r="AN14" s="22"/>
      <c r="AO14" s="22"/>
      <c r="AP14" s="22"/>
      <c r="AQ14" s="22"/>
      <c r="AR14" s="1"/>
      <c r="AS14" s="1"/>
      <c r="AT14" s="15"/>
      <c r="AU14" s="19"/>
      <c r="AV14" s="20"/>
      <c r="AW14" s="16"/>
      <c r="AX14" s="21"/>
      <c r="AY14" s="22"/>
      <c r="AZ14" s="22"/>
      <c r="BA14" s="22"/>
      <c r="BB14" s="22"/>
      <c r="BC14" s="1"/>
    </row>
    <row r="15" spans="1:55" x14ac:dyDescent="0.25">
      <c r="A15" s="1"/>
      <c r="B15" s="1"/>
      <c r="C15" s="1"/>
      <c r="D15" s="1"/>
      <c r="E15" s="1"/>
      <c r="G15" s="1"/>
      <c r="H15" s="1"/>
      <c r="K15" s="1"/>
      <c r="L15" s="1"/>
      <c r="M15" s="15">
        <v>1</v>
      </c>
      <c r="N15" s="19" t="s">
        <v>4</v>
      </c>
      <c r="O15" s="20"/>
      <c r="P15" s="17">
        <v>2</v>
      </c>
      <c r="Q15" s="21"/>
      <c r="R15" s="22"/>
      <c r="S15" s="22"/>
      <c r="T15" s="22"/>
      <c r="U15" s="22"/>
      <c r="V15" s="1"/>
      <c r="W15" s="1"/>
      <c r="X15" s="15"/>
      <c r="Y15" s="19"/>
      <c r="Z15" s="20"/>
      <c r="AA15" s="17"/>
      <c r="AB15" s="21"/>
      <c r="AC15" s="22"/>
      <c r="AD15" s="22"/>
      <c r="AE15" s="22"/>
      <c r="AF15" s="22"/>
      <c r="AG15" s="1"/>
      <c r="AH15" s="1"/>
      <c r="AI15" s="15"/>
      <c r="AJ15" s="19"/>
      <c r="AK15" s="20"/>
      <c r="AL15" s="17"/>
      <c r="AM15" s="21"/>
      <c r="AN15" s="22"/>
      <c r="AO15" s="22"/>
      <c r="AP15" s="22"/>
      <c r="AQ15" s="22"/>
      <c r="AR15" s="1"/>
      <c r="AS15" s="1"/>
      <c r="AT15" s="15"/>
      <c r="AU15" s="19"/>
      <c r="AV15" s="20"/>
      <c r="AW15" s="17"/>
      <c r="AX15" s="21"/>
      <c r="AY15" s="22"/>
      <c r="AZ15" s="22"/>
      <c r="BA15" s="22"/>
      <c r="BB15" s="22"/>
      <c r="BC15" s="1"/>
    </row>
    <row r="16" spans="1:55" x14ac:dyDescent="0.25">
      <c r="A16" s="1"/>
      <c r="B16" s="1"/>
      <c r="C16" s="1"/>
      <c r="D16" s="1"/>
      <c r="E16" s="1"/>
      <c r="G16" s="1"/>
      <c r="H16" s="1"/>
      <c r="I16" s="1"/>
      <c r="K16" s="1"/>
      <c r="L16" s="1"/>
      <c r="M16" s="15"/>
      <c r="N16" s="19"/>
      <c r="O16" s="20"/>
      <c r="P16" s="17"/>
      <c r="Q16" s="21"/>
      <c r="R16" s="22"/>
      <c r="S16" s="22"/>
      <c r="T16" s="22"/>
      <c r="U16" s="22"/>
      <c r="V16" s="1"/>
      <c r="W16" s="1"/>
      <c r="X16" s="15"/>
      <c r="Y16" s="19" t="s">
        <v>4</v>
      </c>
      <c r="Z16" s="20"/>
      <c r="AA16" s="17">
        <v>2</v>
      </c>
      <c r="AB16" s="21"/>
      <c r="AC16" s="22"/>
      <c r="AD16" s="22"/>
      <c r="AE16" s="22"/>
      <c r="AF16" s="22"/>
      <c r="AG16" s="1"/>
      <c r="AH16" s="1"/>
      <c r="AI16" s="15"/>
      <c r="AJ16" s="19"/>
      <c r="AK16" s="20"/>
      <c r="AL16" s="17"/>
      <c r="AM16" s="21"/>
      <c r="AN16" s="22"/>
      <c r="AO16" s="22"/>
      <c r="AP16" s="22"/>
      <c r="AQ16" s="22"/>
      <c r="AR16" s="1"/>
      <c r="AS16" s="1"/>
      <c r="AT16" s="15"/>
      <c r="AU16" s="19"/>
      <c r="AV16" s="20"/>
      <c r="AW16" s="17"/>
      <c r="AX16" s="21"/>
      <c r="AY16" s="22"/>
      <c r="AZ16" s="22"/>
      <c r="BA16" s="22"/>
      <c r="BB16" s="22"/>
      <c r="BC16" s="1"/>
    </row>
    <row r="17" spans="1:55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5"/>
      <c r="N17" s="19"/>
      <c r="O17" s="20"/>
      <c r="P17" s="17"/>
      <c r="Q17" s="21"/>
      <c r="R17" s="22"/>
      <c r="S17" s="22"/>
      <c r="T17" s="22"/>
      <c r="U17" s="22"/>
      <c r="V17" s="1"/>
      <c r="W17" s="1"/>
      <c r="X17" s="15"/>
      <c r="Y17" s="19"/>
      <c r="Z17" s="20"/>
      <c r="AA17" s="17"/>
      <c r="AB17" s="21"/>
      <c r="AC17" s="22"/>
      <c r="AD17" s="22"/>
      <c r="AE17" s="22"/>
      <c r="AF17" s="22"/>
      <c r="AG17" s="1"/>
      <c r="AH17" s="1"/>
      <c r="AI17" s="15"/>
      <c r="AJ17" s="19"/>
      <c r="AK17" s="20"/>
      <c r="AL17" s="17"/>
      <c r="AM17" s="21"/>
      <c r="AN17" s="22"/>
      <c r="AO17" s="22"/>
      <c r="AP17" s="22"/>
      <c r="AQ17" s="22"/>
      <c r="AR17" s="1"/>
      <c r="AS17" s="1"/>
      <c r="AT17" s="15"/>
      <c r="AU17" s="19"/>
      <c r="AV17" s="20"/>
      <c r="AW17" s="17"/>
      <c r="AX17" s="21"/>
      <c r="AY17" s="22"/>
      <c r="AZ17" s="22"/>
      <c r="BA17" s="22"/>
      <c r="BB17" s="22"/>
      <c r="BC17" s="1"/>
    </row>
    <row r="18" spans="1:55" x14ac:dyDescent="0.25">
      <c r="A18" s="1"/>
      <c r="B18" s="1"/>
      <c r="C18" s="24"/>
      <c r="D18" s="24"/>
      <c r="E18" s="24"/>
      <c r="F18" s="24"/>
      <c r="G18" s="24"/>
      <c r="H18" s="24"/>
      <c r="I18" s="4">
        <f ca="1">SUM(H23:H25)</f>
        <v>5</v>
      </c>
      <c r="J18" s="1"/>
      <c r="K18" s="1"/>
      <c r="L18" s="1"/>
      <c r="M18" s="15"/>
      <c r="N18" s="19"/>
      <c r="O18" s="20"/>
      <c r="P18" s="17"/>
      <c r="Q18" s="21"/>
      <c r="R18" s="22"/>
      <c r="S18" s="22"/>
      <c r="T18" s="22"/>
      <c r="U18" s="22"/>
      <c r="V18" s="1"/>
      <c r="W18" s="1"/>
      <c r="X18" s="15"/>
      <c r="Y18" s="19"/>
      <c r="Z18" s="20"/>
      <c r="AA18" s="17"/>
      <c r="AB18" s="21"/>
      <c r="AC18" s="22"/>
      <c r="AD18" s="22"/>
      <c r="AE18" s="22"/>
      <c r="AF18" s="22"/>
      <c r="AG18" s="1"/>
      <c r="AH18" s="1"/>
      <c r="AI18" s="15"/>
      <c r="AJ18" s="19" t="s">
        <v>4</v>
      </c>
      <c r="AK18" s="20"/>
      <c r="AL18" s="17">
        <v>2</v>
      </c>
      <c r="AM18" s="21"/>
      <c r="AN18" s="22"/>
      <c r="AO18" s="22"/>
      <c r="AP18" s="22"/>
      <c r="AQ18" s="22"/>
      <c r="AR18" s="1"/>
      <c r="AS18" s="1"/>
      <c r="AT18" s="15"/>
      <c r="AU18" s="19"/>
      <c r="AV18" s="20"/>
      <c r="AW18" s="17"/>
      <c r="AX18" s="21"/>
      <c r="AY18" s="22"/>
      <c r="AZ18" s="22"/>
      <c r="BA18" s="22"/>
      <c r="BB18" s="22"/>
      <c r="BC18" s="1"/>
    </row>
    <row r="19" spans="1:55" x14ac:dyDescent="0.25">
      <c r="A19" s="1"/>
      <c r="B19" s="1"/>
      <c r="J19" s="1"/>
      <c r="K19" s="1"/>
      <c r="L19" s="1"/>
      <c r="M19" s="15"/>
      <c r="N19" s="19" t="s">
        <v>4</v>
      </c>
      <c r="O19" s="20"/>
      <c r="P19" s="17">
        <v>3</v>
      </c>
      <c r="Q19" s="21"/>
      <c r="R19" s="22"/>
      <c r="S19" s="22"/>
      <c r="T19" s="22"/>
      <c r="U19" s="22"/>
      <c r="V19" s="1"/>
      <c r="W19" s="1"/>
      <c r="X19" s="15"/>
      <c r="Y19" s="19"/>
      <c r="Z19" s="20"/>
      <c r="AA19" s="17"/>
      <c r="AB19" s="21"/>
      <c r="AC19" s="22"/>
      <c r="AD19" s="22"/>
      <c r="AE19" s="22"/>
      <c r="AF19" s="22"/>
      <c r="AG19" s="1"/>
      <c r="AH19" s="1"/>
      <c r="AI19" s="15"/>
      <c r="AJ19" s="19"/>
      <c r="AK19" s="20"/>
      <c r="AL19" s="17"/>
      <c r="AM19" s="21"/>
      <c r="AN19" s="22"/>
      <c r="AO19" s="22"/>
      <c r="AP19" s="22"/>
      <c r="AQ19" s="22"/>
      <c r="AR19" s="1"/>
      <c r="AS19" s="1"/>
      <c r="AT19" s="15"/>
      <c r="AU19" s="19"/>
      <c r="AV19" s="20"/>
      <c r="AW19" s="17"/>
      <c r="AX19" s="21"/>
      <c r="AY19" s="22"/>
      <c r="AZ19" s="22"/>
      <c r="BA19" s="22"/>
      <c r="BB19" s="22"/>
      <c r="BC19" s="1"/>
    </row>
    <row r="20" spans="1:55" x14ac:dyDescent="0.25">
      <c r="A20" s="1"/>
      <c r="B20" s="1"/>
      <c r="C20" s="1"/>
      <c r="D20" s="1"/>
      <c r="E20" s="1"/>
      <c r="F20" s="1"/>
      <c r="K20" s="1"/>
      <c r="L20" s="1"/>
      <c r="M20" s="15"/>
      <c r="N20" s="19"/>
      <c r="O20" s="20"/>
      <c r="P20" s="17"/>
      <c r="Q20" s="21"/>
      <c r="R20" s="22"/>
      <c r="S20" s="22"/>
      <c r="T20" s="22"/>
      <c r="U20" s="22"/>
      <c r="V20" s="1"/>
      <c r="W20" s="1"/>
      <c r="X20" s="15"/>
      <c r="Y20" s="19"/>
      <c r="Z20" s="20"/>
      <c r="AA20" s="17"/>
      <c r="AB20" s="21"/>
      <c r="AC20" s="22"/>
      <c r="AD20" s="22"/>
      <c r="AE20" s="22"/>
      <c r="AF20" s="22"/>
      <c r="AG20" s="1"/>
      <c r="AH20" s="1"/>
      <c r="AI20" s="15"/>
      <c r="AJ20" s="19"/>
      <c r="AK20" s="20"/>
      <c r="AL20" s="17"/>
      <c r="AM20" s="21"/>
      <c r="AN20" s="22"/>
      <c r="AO20" s="22"/>
      <c r="AP20" s="22"/>
      <c r="AQ20" s="22"/>
      <c r="AR20" s="1"/>
      <c r="AS20" s="1"/>
      <c r="AT20" s="15"/>
      <c r="AU20" s="19"/>
      <c r="AV20" s="20"/>
      <c r="AW20" s="17"/>
      <c r="AX20" s="21"/>
      <c r="AY20" s="22"/>
      <c r="AZ20" s="22"/>
      <c r="BA20" s="22"/>
      <c r="BB20" s="22"/>
      <c r="BC20" s="1"/>
    </row>
    <row r="21" spans="1:55" x14ac:dyDescent="0.25">
      <c r="A21" s="1"/>
      <c r="B21" s="1"/>
      <c r="C21" s="1"/>
      <c r="D21" s="1"/>
      <c r="E21" s="1"/>
      <c r="F21" s="1"/>
      <c r="K21" s="1"/>
      <c r="L21" s="1"/>
      <c r="M21" s="15"/>
      <c r="N21" s="19"/>
      <c r="O21" s="20"/>
      <c r="P21" s="17"/>
      <c r="Q21" s="21"/>
      <c r="R21" s="22"/>
      <c r="S21" s="22"/>
      <c r="T21" s="22"/>
      <c r="U21" s="22"/>
      <c r="V21" s="1"/>
      <c r="W21" s="1"/>
      <c r="X21" s="15"/>
      <c r="Y21" s="19"/>
      <c r="Z21" s="20"/>
      <c r="AA21" s="17"/>
      <c r="AB21" s="21"/>
      <c r="AC21" s="22"/>
      <c r="AD21" s="22"/>
      <c r="AE21" s="22"/>
      <c r="AF21" s="22"/>
      <c r="AG21" s="1"/>
      <c r="AH21" s="1"/>
      <c r="AI21" s="15"/>
      <c r="AJ21" s="19"/>
      <c r="AK21" s="20"/>
      <c r="AL21" s="17"/>
      <c r="AM21" s="21"/>
      <c r="AN21" s="22"/>
      <c r="AO21" s="22"/>
      <c r="AP21" s="22"/>
      <c r="AQ21" s="22"/>
      <c r="AR21" s="1"/>
      <c r="AS21" s="1"/>
      <c r="AT21" s="15"/>
      <c r="AU21" s="19"/>
      <c r="AV21" s="20"/>
      <c r="AW21" s="17"/>
      <c r="AX21" s="21"/>
      <c r="AY21" s="22"/>
      <c r="AZ21" s="22"/>
      <c r="BA21" s="22"/>
      <c r="BB21" s="22"/>
      <c r="BC21" s="1"/>
    </row>
    <row r="22" spans="1:55" ht="15.75" thickBot="1" x14ac:dyDescent="0.3">
      <c r="A22" s="1"/>
      <c r="B22" s="1"/>
      <c r="C22" s="1"/>
      <c r="D22" s="1"/>
      <c r="E22" s="1"/>
      <c r="F22" s="1"/>
      <c r="K22" s="1"/>
      <c r="L22" s="1"/>
      <c r="M22" s="15">
        <v>1</v>
      </c>
      <c r="N22" s="19"/>
      <c r="O22" s="20"/>
      <c r="P22" s="17"/>
      <c r="Q22" s="21"/>
      <c r="R22" s="22"/>
      <c r="S22" s="22"/>
      <c r="T22" s="22"/>
      <c r="U22" s="22"/>
      <c r="V22" s="1"/>
      <c r="W22" s="1"/>
      <c r="X22" s="15"/>
      <c r="Y22" s="19"/>
      <c r="Z22" s="20"/>
      <c r="AA22" s="17"/>
      <c r="AB22" s="21"/>
      <c r="AC22" s="22"/>
      <c r="AD22" s="22"/>
      <c r="AE22" s="22"/>
      <c r="AF22" s="22"/>
      <c r="AG22" s="1"/>
      <c r="AH22" s="1"/>
      <c r="AI22" s="15"/>
      <c r="AJ22" s="19"/>
      <c r="AK22" s="20"/>
      <c r="AL22" s="17"/>
      <c r="AM22" s="21"/>
      <c r="AN22" s="22"/>
      <c r="AO22" s="22"/>
      <c r="AP22" s="22"/>
      <c r="AQ22" s="22"/>
      <c r="AR22" s="1"/>
      <c r="AS22" s="1"/>
      <c r="AT22" s="15"/>
      <c r="AU22" s="19"/>
      <c r="AV22" s="20"/>
      <c r="AW22" s="17"/>
      <c r="AX22" s="21"/>
      <c r="AY22" s="22"/>
      <c r="AZ22" s="22"/>
      <c r="BA22" s="22"/>
      <c r="BB22" s="22"/>
      <c r="BC22" s="1"/>
    </row>
    <row r="23" spans="1:55" x14ac:dyDescent="0.25">
      <c r="A23" s="1"/>
      <c r="B23" s="1"/>
      <c r="C23" s="1"/>
      <c r="D23" s="1"/>
      <c r="E23" s="1"/>
      <c r="F23" s="1"/>
      <c r="H23" s="8">
        <f ca="1">SUM('Mapping table_3'!G12:J18)</f>
        <v>0</v>
      </c>
      <c r="I23" s="9">
        <f ca="1">H23/$I$18</f>
        <v>0</v>
      </c>
      <c r="J23" s="7"/>
      <c r="K23" s="1"/>
      <c r="L23" s="1"/>
      <c r="M23" s="15"/>
      <c r="N23" s="19" t="s">
        <v>30</v>
      </c>
      <c r="O23" s="20"/>
      <c r="P23" s="17">
        <v>2</v>
      </c>
      <c r="Q23" s="21"/>
      <c r="R23" s="22"/>
      <c r="S23" s="22"/>
      <c r="T23" s="22"/>
      <c r="U23" s="22"/>
      <c r="V23" s="1"/>
      <c r="W23" s="1"/>
      <c r="X23" s="15"/>
      <c r="Y23" s="19"/>
      <c r="Z23" s="20"/>
      <c r="AA23" s="17"/>
      <c r="AB23" s="21"/>
      <c r="AC23" s="22"/>
      <c r="AD23" s="22"/>
      <c r="AE23" s="22"/>
      <c r="AF23" s="22"/>
      <c r="AG23" s="1"/>
      <c r="AH23" s="1"/>
      <c r="AI23" s="15"/>
      <c r="AJ23" s="19"/>
      <c r="AK23" s="20"/>
      <c r="AL23" s="17"/>
      <c r="AM23" s="21"/>
      <c r="AN23" s="22"/>
      <c r="AO23" s="22"/>
      <c r="AP23" s="22"/>
      <c r="AQ23" s="22"/>
      <c r="AR23" s="1"/>
      <c r="AS23" s="1"/>
      <c r="AT23" s="15"/>
      <c r="AU23" s="19"/>
      <c r="AV23" s="20"/>
      <c r="AW23" s="17"/>
      <c r="AX23" s="21"/>
      <c r="AY23" s="22"/>
      <c r="AZ23" s="22"/>
      <c r="BA23" s="22"/>
      <c r="BB23" s="22"/>
      <c r="BC23" s="1"/>
    </row>
    <row r="24" spans="1:55" x14ac:dyDescent="0.25">
      <c r="A24" s="1"/>
      <c r="B24" s="1"/>
      <c r="C24" s="1"/>
      <c r="D24" s="1"/>
      <c r="E24" s="1"/>
      <c r="F24" s="1"/>
      <c r="H24" s="10">
        <f ca="1">SUM('Mapping table_3'!G5:J11)</f>
        <v>2</v>
      </c>
      <c r="I24" s="11">
        <f ca="1">H24/$I$18</f>
        <v>0.4</v>
      </c>
      <c r="J24" s="7"/>
      <c r="K24" s="1"/>
      <c r="L24" s="1"/>
      <c r="M24" s="15"/>
      <c r="N24" s="19" t="s">
        <v>4</v>
      </c>
      <c r="O24" s="20"/>
      <c r="P24" s="17">
        <v>2</v>
      </c>
      <c r="Q24" s="21"/>
      <c r="R24" s="22"/>
      <c r="S24" s="22"/>
      <c r="T24" s="22"/>
      <c r="U24" s="22"/>
      <c r="V24" s="1"/>
      <c r="W24" s="1"/>
      <c r="X24" s="15"/>
      <c r="Y24" s="19"/>
      <c r="Z24" s="20"/>
      <c r="AA24" s="17"/>
      <c r="AB24" s="21"/>
      <c r="AC24" s="22"/>
      <c r="AD24" s="22"/>
      <c r="AE24" s="22"/>
      <c r="AF24" s="22"/>
      <c r="AG24" s="1"/>
      <c r="AH24" s="1"/>
      <c r="AI24" s="15"/>
      <c r="AJ24" s="19"/>
      <c r="AK24" s="20"/>
      <c r="AL24" s="17"/>
      <c r="AM24" s="21"/>
      <c r="AN24" s="22"/>
      <c r="AO24" s="22"/>
      <c r="AP24" s="22"/>
      <c r="AQ24" s="22"/>
      <c r="AR24" s="1"/>
      <c r="AS24" s="1"/>
      <c r="AT24" s="15"/>
      <c r="AU24" s="19"/>
      <c r="AV24" s="20"/>
      <c r="AW24" s="17"/>
      <c r="AX24" s="21"/>
      <c r="AY24" s="22"/>
      <c r="AZ24" s="22"/>
      <c r="BA24" s="22"/>
      <c r="BB24" s="22"/>
      <c r="BC24" s="1"/>
    </row>
    <row r="25" spans="1:55" ht="15.75" thickBot="1" x14ac:dyDescent="0.3">
      <c r="A25" s="1"/>
      <c r="B25" s="1"/>
      <c r="C25" s="1"/>
      <c r="D25" s="1"/>
      <c r="E25" s="1"/>
      <c r="F25" s="1"/>
      <c r="H25" s="12">
        <f ca="1">SUM('Mapping table_3'!G19:J21)</f>
        <v>3</v>
      </c>
      <c r="I25" s="13">
        <f ca="1">H25/$I$18</f>
        <v>0.6</v>
      </c>
      <c r="J25" s="7"/>
      <c r="K25" s="1"/>
      <c r="L25" s="1"/>
      <c r="M25" s="15"/>
      <c r="N25" s="19"/>
      <c r="O25" s="20"/>
      <c r="P25" s="17"/>
      <c r="Q25" s="21"/>
      <c r="R25" s="22"/>
      <c r="S25" s="22"/>
      <c r="T25" s="22"/>
      <c r="U25" s="22"/>
      <c r="V25" s="1"/>
      <c r="W25" s="1"/>
      <c r="X25" s="15"/>
      <c r="Y25" s="19"/>
      <c r="Z25" s="20"/>
      <c r="AA25" s="17"/>
      <c r="AB25" s="21"/>
      <c r="AC25" s="22"/>
      <c r="AD25" s="22"/>
      <c r="AE25" s="22"/>
      <c r="AF25" s="22"/>
      <c r="AG25" s="1"/>
      <c r="AH25" s="1"/>
      <c r="AI25" s="15"/>
      <c r="AJ25" s="19"/>
      <c r="AK25" s="20"/>
      <c r="AL25" s="17"/>
      <c r="AM25" s="21"/>
      <c r="AN25" s="22"/>
      <c r="AO25" s="22"/>
      <c r="AP25" s="22"/>
      <c r="AQ25" s="22"/>
      <c r="AR25" s="1"/>
      <c r="AS25" s="1"/>
      <c r="AT25" s="15"/>
      <c r="AU25" s="19"/>
      <c r="AV25" s="20"/>
      <c r="AW25" s="17"/>
      <c r="AX25" s="21"/>
      <c r="AY25" s="22"/>
      <c r="AZ25" s="22"/>
      <c r="BA25" s="22"/>
      <c r="BB25" s="22"/>
      <c r="BC25" s="1"/>
    </row>
    <row r="26" spans="1:55" x14ac:dyDescent="0.25">
      <c r="A26" s="1"/>
      <c r="B26" s="1"/>
      <c r="C26" s="1"/>
      <c r="D26" s="1"/>
      <c r="E26" s="1"/>
      <c r="F26" s="1"/>
      <c r="G26" s="1"/>
      <c r="H26" s="14">
        <f ca="1">SUM('Mapping table_3'!G23:J23)</f>
        <v>0</v>
      </c>
      <c r="I26" s="7"/>
      <c r="J26" s="7"/>
      <c r="K26" s="1"/>
      <c r="L26" s="1"/>
      <c r="M26" s="15"/>
      <c r="N26" s="19"/>
      <c r="O26" s="20"/>
      <c r="P26" s="17"/>
      <c r="Q26" s="21"/>
      <c r="R26" s="22"/>
      <c r="S26" s="22"/>
      <c r="T26" s="22"/>
      <c r="U26" s="22"/>
      <c r="V26" s="1"/>
      <c r="W26" s="1"/>
      <c r="X26" s="15"/>
      <c r="Y26" s="19"/>
      <c r="Z26" s="20"/>
      <c r="AA26" s="17"/>
      <c r="AB26" s="21"/>
      <c r="AC26" s="22"/>
      <c r="AD26" s="22"/>
      <c r="AE26" s="22"/>
      <c r="AF26" s="22"/>
      <c r="AG26" s="1"/>
      <c r="AH26" s="1"/>
      <c r="AI26" s="15"/>
      <c r="AJ26" s="19"/>
      <c r="AK26" s="20"/>
      <c r="AL26" s="17"/>
      <c r="AM26" s="21"/>
      <c r="AN26" s="22"/>
      <c r="AO26" s="22"/>
      <c r="AP26" s="22"/>
      <c r="AQ26" s="22"/>
      <c r="AR26" s="1"/>
      <c r="AS26" s="1"/>
      <c r="AT26" s="15"/>
      <c r="AU26" s="19"/>
      <c r="AV26" s="20"/>
      <c r="AW26" s="17"/>
      <c r="AX26" s="21"/>
      <c r="AY26" s="22"/>
      <c r="AZ26" s="22"/>
      <c r="BA26" s="22"/>
      <c r="BB26" s="22"/>
      <c r="BC26" s="1"/>
    </row>
    <row r="27" spans="1:55" x14ac:dyDescent="0.25">
      <c r="A27" s="1"/>
      <c r="B27" s="1"/>
      <c r="C27" s="1"/>
      <c r="D27" s="1"/>
      <c r="E27" s="1"/>
      <c r="F27" s="1"/>
      <c r="G27" s="1"/>
      <c r="H27" s="14">
        <f ca="1">SUM('Mapping table_3'!G24:J24)</f>
        <v>0</v>
      </c>
      <c r="I27" s="7"/>
      <c r="J27" s="7"/>
      <c r="K27" s="1"/>
      <c r="L27" s="1"/>
      <c r="M27" s="15">
        <v>1</v>
      </c>
      <c r="N27" s="19" t="s">
        <v>3</v>
      </c>
      <c r="O27" s="20"/>
      <c r="P27" s="17">
        <v>3</v>
      </c>
      <c r="Q27" s="21"/>
      <c r="R27" s="22"/>
      <c r="S27" s="22"/>
      <c r="T27" s="22"/>
      <c r="U27" s="22"/>
      <c r="V27" s="1"/>
      <c r="W27" s="1"/>
      <c r="X27" s="15"/>
      <c r="Y27" s="19"/>
      <c r="Z27" s="20"/>
      <c r="AA27" s="17"/>
      <c r="AB27" s="21"/>
      <c r="AC27" s="22"/>
      <c r="AD27" s="22"/>
      <c r="AE27" s="22"/>
      <c r="AF27" s="22"/>
      <c r="AG27" s="1"/>
      <c r="AH27" s="1"/>
      <c r="AI27" s="15"/>
      <c r="AJ27" s="19"/>
      <c r="AK27" s="20"/>
      <c r="AL27" s="17"/>
      <c r="AM27" s="21"/>
      <c r="AN27" s="22"/>
      <c r="AO27" s="22"/>
      <c r="AP27" s="22"/>
      <c r="AQ27" s="22"/>
      <c r="AR27" s="1"/>
      <c r="AS27" s="1"/>
      <c r="AT27" s="15"/>
      <c r="AU27" s="19"/>
      <c r="AV27" s="20"/>
      <c r="AW27" s="17"/>
      <c r="AX27" s="21"/>
      <c r="AY27" s="22"/>
      <c r="AZ27" s="22"/>
      <c r="BA27" s="22"/>
      <c r="BB27" s="22"/>
      <c r="BC27" s="1"/>
    </row>
    <row r="28" spans="1:55" x14ac:dyDescent="0.25">
      <c r="A28" s="1"/>
      <c r="B28" s="1"/>
      <c r="C28" s="1"/>
      <c r="D28" s="1"/>
      <c r="E28" s="1"/>
      <c r="F28" s="1"/>
      <c r="G28" s="1"/>
      <c r="H28" s="14">
        <f ca="1">SUM('Mapping table_3'!G25:J25)</f>
        <v>3</v>
      </c>
      <c r="I28" s="7"/>
      <c r="J28" s="7"/>
      <c r="K28" s="1"/>
      <c r="L28" s="1"/>
      <c r="M28" s="15"/>
      <c r="N28" s="19"/>
      <c r="O28" s="20"/>
      <c r="P28" s="17"/>
      <c r="Q28" s="21"/>
      <c r="R28" s="22"/>
      <c r="S28" s="22"/>
      <c r="T28" s="22"/>
      <c r="U28" s="22"/>
      <c r="V28" s="1"/>
      <c r="W28" s="1"/>
      <c r="X28" s="15"/>
      <c r="Y28" s="19"/>
      <c r="Z28" s="20"/>
      <c r="AA28" s="17"/>
      <c r="AB28" s="21"/>
      <c r="AC28" s="22"/>
      <c r="AD28" s="22"/>
      <c r="AE28" s="22"/>
      <c r="AF28" s="22"/>
      <c r="AG28" s="1"/>
      <c r="AH28" s="1"/>
      <c r="AI28" s="15"/>
      <c r="AJ28" s="19"/>
      <c r="AK28" s="20"/>
      <c r="AL28" s="17"/>
      <c r="AM28" s="21"/>
      <c r="AN28" s="22"/>
      <c r="AO28" s="22"/>
      <c r="AP28" s="22"/>
      <c r="AQ28" s="22"/>
      <c r="AR28" s="1"/>
      <c r="AS28" s="1"/>
      <c r="AT28" s="15"/>
      <c r="AU28" s="19"/>
      <c r="AV28" s="20"/>
      <c r="AW28" s="17"/>
      <c r="AX28" s="21"/>
      <c r="AY28" s="22"/>
      <c r="AZ28" s="22"/>
      <c r="BA28" s="22"/>
      <c r="BB28" s="22"/>
      <c r="BC28" s="1"/>
    </row>
    <row r="29" spans="1:55" x14ac:dyDescent="0.25">
      <c r="A29" s="1"/>
      <c r="B29" s="1"/>
      <c r="C29" s="1"/>
      <c r="D29" s="1"/>
      <c r="E29" s="1"/>
      <c r="F29" s="1"/>
      <c r="G29" s="1"/>
      <c r="H29" s="14">
        <f ca="1">SUM('Mapping table_3'!G26:J26)</f>
        <v>11</v>
      </c>
      <c r="I29" s="7"/>
      <c r="J29" s="7"/>
      <c r="K29" s="1"/>
      <c r="L29" s="1"/>
      <c r="M29" s="15"/>
      <c r="N29" s="19"/>
      <c r="O29" s="20"/>
      <c r="P29" s="17"/>
      <c r="Q29" s="21"/>
      <c r="R29" s="22"/>
      <c r="S29" s="22"/>
      <c r="T29" s="22"/>
      <c r="U29" s="22"/>
      <c r="V29" s="1"/>
      <c r="W29" s="1"/>
      <c r="X29" s="15"/>
      <c r="Y29" s="19"/>
      <c r="Z29" s="20"/>
      <c r="AA29" s="17"/>
      <c r="AB29" s="21"/>
      <c r="AC29" s="22"/>
      <c r="AD29" s="22"/>
      <c r="AE29" s="22"/>
      <c r="AF29" s="22"/>
      <c r="AG29" s="1"/>
      <c r="AH29" s="1"/>
      <c r="AI29" s="15"/>
      <c r="AJ29" s="19"/>
      <c r="AK29" s="20"/>
      <c r="AL29" s="17"/>
      <c r="AM29" s="21"/>
      <c r="AN29" s="22"/>
      <c r="AO29" s="22"/>
      <c r="AP29" s="22"/>
      <c r="AQ29" s="22"/>
      <c r="AR29" s="1"/>
      <c r="AS29" s="1"/>
      <c r="AT29" s="15"/>
      <c r="AU29" s="19"/>
      <c r="AV29" s="20"/>
      <c r="AW29" s="17"/>
      <c r="AX29" s="21"/>
      <c r="AY29" s="22"/>
      <c r="AZ29" s="22"/>
      <c r="BA29" s="22"/>
      <c r="BB29" s="22"/>
      <c r="BC29" s="1"/>
    </row>
    <row r="30" spans="1:55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5"/>
      <c r="N30" s="19"/>
      <c r="O30" s="20"/>
      <c r="P30" s="17"/>
      <c r="Q30" s="21"/>
      <c r="R30" s="22"/>
      <c r="S30" s="22"/>
      <c r="T30" s="22"/>
      <c r="U30" s="22"/>
      <c r="V30" s="1"/>
      <c r="W30" s="1"/>
      <c r="X30" s="15"/>
      <c r="Y30" s="19"/>
      <c r="Z30" s="20"/>
      <c r="AA30" s="17"/>
      <c r="AB30" s="21"/>
      <c r="AC30" s="22"/>
      <c r="AD30" s="22"/>
      <c r="AE30" s="22"/>
      <c r="AF30" s="22"/>
      <c r="AG30" s="1"/>
      <c r="AH30" s="1"/>
      <c r="AI30" s="15"/>
      <c r="AJ30" s="19"/>
      <c r="AK30" s="20"/>
      <c r="AL30" s="17"/>
      <c r="AM30" s="21"/>
      <c r="AN30" s="22"/>
      <c r="AO30" s="22"/>
      <c r="AP30" s="22"/>
      <c r="AQ30" s="22"/>
      <c r="AR30" s="1"/>
      <c r="AS30" s="1"/>
      <c r="AT30" s="15"/>
      <c r="AU30" s="19"/>
      <c r="AV30" s="20"/>
      <c r="AW30" s="17"/>
      <c r="AX30" s="21"/>
      <c r="AY30" s="22"/>
      <c r="AZ30" s="22"/>
      <c r="BA30" s="22"/>
      <c r="BB30" s="22"/>
      <c r="BC30" s="1"/>
    </row>
    <row r="31" spans="1:55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5"/>
      <c r="N31" s="19"/>
      <c r="O31" s="20"/>
      <c r="P31" s="17"/>
      <c r="Q31" s="21"/>
      <c r="R31" s="22"/>
      <c r="S31" s="22"/>
      <c r="T31" s="22"/>
      <c r="U31" s="22"/>
      <c r="V31" s="1"/>
      <c r="W31" s="1"/>
      <c r="X31" s="15"/>
      <c r="Y31" s="19"/>
      <c r="Z31" s="20"/>
      <c r="AA31" s="17"/>
      <c r="AB31" s="21"/>
      <c r="AC31" s="22"/>
      <c r="AD31" s="22"/>
      <c r="AE31" s="22"/>
      <c r="AF31" s="22"/>
      <c r="AG31" s="1"/>
      <c r="AH31" s="1"/>
      <c r="AI31" s="15"/>
      <c r="AJ31" s="19"/>
      <c r="AK31" s="20"/>
      <c r="AL31" s="17"/>
      <c r="AM31" s="21"/>
      <c r="AN31" s="22"/>
      <c r="AO31" s="22"/>
      <c r="AP31" s="22"/>
      <c r="AQ31" s="22"/>
      <c r="AR31" s="1"/>
      <c r="AS31" s="1"/>
      <c r="AT31" s="15"/>
      <c r="AU31" s="19"/>
      <c r="AV31" s="20"/>
      <c r="AW31" s="17"/>
      <c r="AX31" s="21"/>
      <c r="AY31" s="22"/>
      <c r="AZ31" s="22"/>
      <c r="BA31" s="22"/>
      <c r="BB31" s="22"/>
      <c r="BC31" s="1"/>
    </row>
    <row r="32" spans="1:55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5"/>
      <c r="N32" s="19"/>
      <c r="O32" s="20"/>
      <c r="P32" s="17"/>
      <c r="Q32" s="21"/>
      <c r="R32" s="22"/>
      <c r="S32" s="22"/>
      <c r="T32" s="22"/>
      <c r="U32" s="22"/>
      <c r="V32" s="1"/>
      <c r="W32" s="1"/>
      <c r="X32" s="15"/>
      <c r="Y32" s="19"/>
      <c r="Z32" s="20"/>
      <c r="AA32" s="17"/>
      <c r="AB32" s="21"/>
      <c r="AC32" s="22"/>
      <c r="AD32" s="22"/>
      <c r="AE32" s="22"/>
      <c r="AF32" s="22"/>
      <c r="AG32" s="1"/>
      <c r="AH32" s="1"/>
      <c r="AI32" s="15"/>
      <c r="AJ32" s="19"/>
      <c r="AK32" s="20"/>
      <c r="AL32" s="17"/>
      <c r="AM32" s="21"/>
      <c r="AN32" s="22"/>
      <c r="AO32" s="22"/>
      <c r="AP32" s="22"/>
      <c r="AQ32" s="22"/>
      <c r="AR32" s="1"/>
      <c r="AS32" s="1"/>
      <c r="AT32" s="15"/>
      <c r="AU32" s="19"/>
      <c r="AV32" s="20"/>
      <c r="AW32" s="17"/>
      <c r="AX32" s="21"/>
      <c r="AY32" s="22"/>
      <c r="AZ32" s="22"/>
      <c r="BA32" s="22"/>
      <c r="BB32" s="22"/>
      <c r="BC32" s="1"/>
    </row>
    <row r="33" spans="1:55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5"/>
      <c r="N33" s="19"/>
      <c r="O33" s="20"/>
      <c r="P33" s="17"/>
      <c r="Q33" s="21"/>
      <c r="R33" s="22"/>
      <c r="S33" s="22"/>
      <c r="T33" s="22"/>
      <c r="U33" s="22"/>
      <c r="V33" s="1"/>
      <c r="W33" s="1"/>
      <c r="X33" s="15">
        <v>1</v>
      </c>
      <c r="Y33" s="19"/>
      <c r="Z33" s="20"/>
      <c r="AA33" s="17"/>
      <c r="AB33" s="21"/>
      <c r="AC33" s="22"/>
      <c r="AD33" s="22"/>
      <c r="AE33" s="22"/>
      <c r="AF33" s="22"/>
      <c r="AG33" s="1"/>
      <c r="AH33" s="1"/>
      <c r="AI33" s="15"/>
      <c r="AJ33" s="19"/>
      <c r="AK33" s="20"/>
      <c r="AL33" s="17"/>
      <c r="AM33" s="21"/>
      <c r="AN33" s="22"/>
      <c r="AO33" s="22"/>
      <c r="AP33" s="22"/>
      <c r="AQ33" s="22"/>
      <c r="AR33" s="1"/>
      <c r="AS33" s="1"/>
      <c r="AT33" s="15"/>
      <c r="AU33" s="19"/>
      <c r="AV33" s="20"/>
      <c r="AW33" s="17"/>
      <c r="AX33" s="21"/>
      <c r="AY33" s="22"/>
      <c r="AZ33" s="22"/>
      <c r="BA33" s="22"/>
      <c r="BB33" s="22"/>
      <c r="BC33" s="1"/>
    </row>
    <row r="34" spans="1:55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5"/>
      <c r="N34" s="19"/>
      <c r="O34" s="20"/>
      <c r="P34" s="17"/>
      <c r="Q34" s="21"/>
      <c r="R34" s="22"/>
      <c r="S34" s="22"/>
      <c r="T34" s="22"/>
      <c r="U34" s="22"/>
      <c r="V34" s="1"/>
      <c r="W34" s="1"/>
      <c r="X34" s="15"/>
      <c r="Y34" s="19"/>
      <c r="Z34" s="20"/>
      <c r="AA34" s="17"/>
      <c r="AB34" s="21"/>
      <c r="AC34" s="22"/>
      <c r="AD34" s="22"/>
      <c r="AE34" s="22"/>
      <c r="AF34" s="22"/>
      <c r="AG34" s="1"/>
      <c r="AH34" s="1"/>
      <c r="AI34" s="15"/>
      <c r="AJ34" s="19"/>
      <c r="AK34" s="20"/>
      <c r="AL34" s="17"/>
      <c r="AM34" s="21"/>
      <c r="AN34" s="22"/>
      <c r="AO34" s="22"/>
      <c r="AP34" s="22"/>
      <c r="AQ34" s="22"/>
      <c r="AR34" s="1"/>
      <c r="AS34" s="1"/>
      <c r="AT34" s="15"/>
      <c r="AU34" s="19"/>
      <c r="AV34" s="20"/>
      <c r="AW34" s="17"/>
      <c r="AX34" s="21"/>
      <c r="AY34" s="22"/>
      <c r="AZ34" s="22"/>
      <c r="BA34" s="22"/>
      <c r="BB34" s="22"/>
      <c r="BC34" s="1"/>
    </row>
    <row r="35" spans="1:55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5"/>
      <c r="N35" s="19"/>
      <c r="O35" s="20"/>
      <c r="P35" s="17"/>
      <c r="Q35" s="21"/>
      <c r="R35" s="22"/>
      <c r="S35" s="22"/>
      <c r="T35" s="22"/>
      <c r="U35" s="22"/>
      <c r="V35" s="1"/>
      <c r="W35" s="1"/>
      <c r="X35" s="15"/>
      <c r="Y35" s="19"/>
      <c r="Z35" s="20"/>
      <c r="AA35" s="17"/>
      <c r="AB35" s="21"/>
      <c r="AC35" s="22"/>
      <c r="AD35" s="22"/>
      <c r="AE35" s="22"/>
      <c r="AF35" s="22"/>
      <c r="AG35" s="1"/>
      <c r="AH35" s="1"/>
      <c r="AI35" s="15"/>
      <c r="AJ35" s="19"/>
      <c r="AK35" s="20"/>
      <c r="AL35" s="17"/>
      <c r="AM35" s="21"/>
      <c r="AN35" s="22"/>
      <c r="AO35" s="22"/>
      <c r="AP35" s="22"/>
      <c r="AQ35" s="22"/>
      <c r="AR35" s="1"/>
      <c r="AS35" s="1"/>
      <c r="AT35" s="15"/>
      <c r="AU35" s="19"/>
      <c r="AV35" s="20"/>
      <c r="AW35" s="17"/>
      <c r="AX35" s="21"/>
      <c r="AY35" s="22"/>
      <c r="AZ35" s="22"/>
      <c r="BA35" s="22"/>
      <c r="BB35" s="22"/>
      <c r="BC35" s="1"/>
    </row>
    <row r="36" spans="1:55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5"/>
      <c r="N36" s="19"/>
      <c r="O36" s="20"/>
      <c r="P36" s="17"/>
      <c r="Q36" s="21"/>
      <c r="R36" s="22"/>
      <c r="S36" s="22"/>
      <c r="T36" s="22"/>
      <c r="U36" s="22"/>
      <c r="V36" s="1"/>
      <c r="W36" s="1"/>
      <c r="X36" s="15"/>
      <c r="Y36" s="19"/>
      <c r="Z36" s="20"/>
      <c r="AA36" s="17"/>
      <c r="AB36" s="21"/>
      <c r="AC36" s="22"/>
      <c r="AD36" s="22"/>
      <c r="AE36" s="22"/>
      <c r="AF36" s="22"/>
      <c r="AG36" s="1"/>
      <c r="AH36" s="1"/>
      <c r="AI36" s="15"/>
      <c r="AJ36" s="19"/>
      <c r="AK36" s="20"/>
      <c r="AL36" s="17"/>
      <c r="AM36" s="21"/>
      <c r="AN36" s="22"/>
      <c r="AO36" s="22"/>
      <c r="AP36" s="22"/>
      <c r="AQ36" s="22"/>
      <c r="AR36" s="1"/>
      <c r="AS36" s="1"/>
      <c r="AT36" s="15"/>
      <c r="AU36" s="19"/>
      <c r="AV36" s="20"/>
      <c r="AW36" s="17"/>
      <c r="AX36" s="21"/>
      <c r="AY36" s="22"/>
      <c r="AZ36" s="22"/>
      <c r="BA36" s="22"/>
      <c r="BB36" s="22"/>
      <c r="BC36" s="1"/>
    </row>
    <row r="37" spans="1:55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5"/>
      <c r="N37" s="19"/>
      <c r="O37" s="20"/>
      <c r="P37" s="17"/>
      <c r="Q37" s="21"/>
      <c r="R37" s="22"/>
      <c r="S37" s="22"/>
      <c r="T37" s="22"/>
      <c r="U37" s="22"/>
      <c r="V37" s="1"/>
      <c r="W37" s="1"/>
      <c r="X37" s="15"/>
      <c r="Y37" s="19"/>
      <c r="Z37" s="20"/>
      <c r="AA37" s="17"/>
      <c r="AB37" s="21"/>
      <c r="AC37" s="22"/>
      <c r="AD37" s="22"/>
      <c r="AE37" s="22"/>
      <c r="AF37" s="22"/>
      <c r="AG37" s="1"/>
      <c r="AH37" s="1"/>
      <c r="AI37" s="15"/>
      <c r="AJ37" s="19"/>
      <c r="AK37" s="20"/>
      <c r="AL37" s="17"/>
      <c r="AM37" s="21"/>
      <c r="AN37" s="22"/>
      <c r="AO37" s="22"/>
      <c r="AP37" s="22"/>
      <c r="AQ37" s="22"/>
      <c r="AR37" s="1"/>
      <c r="AS37" s="1"/>
      <c r="AT37" s="15"/>
      <c r="AU37" s="19"/>
      <c r="AV37" s="20"/>
      <c r="AW37" s="17"/>
      <c r="AX37" s="21"/>
      <c r="AY37" s="22"/>
      <c r="AZ37" s="22"/>
      <c r="BA37" s="22"/>
      <c r="BB37" s="22"/>
      <c r="BC37" s="1"/>
    </row>
    <row r="38" spans="1:55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5"/>
      <c r="N38" s="19"/>
      <c r="O38" s="20"/>
      <c r="P38" s="17"/>
      <c r="Q38" s="21"/>
      <c r="R38" s="22"/>
      <c r="S38" s="22"/>
      <c r="T38" s="22"/>
      <c r="U38" s="22"/>
      <c r="V38" s="1"/>
      <c r="W38" s="1"/>
      <c r="X38" s="15"/>
      <c r="Y38" s="19"/>
      <c r="Z38" s="20"/>
      <c r="AA38" s="17"/>
      <c r="AB38" s="21"/>
      <c r="AC38" s="22"/>
      <c r="AD38" s="22"/>
      <c r="AE38" s="22"/>
      <c r="AF38" s="22"/>
      <c r="AG38" s="1"/>
      <c r="AH38" s="1"/>
      <c r="AI38" s="15"/>
      <c r="AJ38" s="19"/>
      <c r="AK38" s="20"/>
      <c r="AL38" s="17"/>
      <c r="AM38" s="21"/>
      <c r="AN38" s="22"/>
      <c r="AO38" s="22"/>
      <c r="AP38" s="22"/>
      <c r="AQ38" s="22"/>
      <c r="AR38" s="1"/>
      <c r="AS38" s="1"/>
      <c r="AT38" s="15"/>
      <c r="AU38" s="19"/>
      <c r="AV38" s="20"/>
      <c r="AW38" s="17"/>
      <c r="AX38" s="21"/>
      <c r="AY38" s="22"/>
      <c r="AZ38" s="22"/>
      <c r="BA38" s="22"/>
      <c r="BB38" s="22"/>
      <c r="BC38" s="1"/>
    </row>
    <row r="39" spans="1:55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5"/>
      <c r="N39" s="19"/>
      <c r="O39" s="20"/>
      <c r="P39" s="17"/>
      <c r="Q39" s="21"/>
      <c r="R39" s="22"/>
      <c r="S39" s="22"/>
      <c r="T39" s="22"/>
      <c r="U39" s="22"/>
      <c r="V39" s="1"/>
      <c r="W39" s="1"/>
      <c r="X39" s="15"/>
      <c r="Y39" s="19"/>
      <c r="Z39" s="20"/>
      <c r="AA39" s="17"/>
      <c r="AB39" s="21"/>
      <c r="AC39" s="22"/>
      <c r="AD39" s="22"/>
      <c r="AE39" s="22"/>
      <c r="AF39" s="22"/>
      <c r="AG39" s="1"/>
      <c r="AH39" s="1"/>
      <c r="AI39" s="15"/>
      <c r="AJ39" s="19"/>
      <c r="AK39" s="20"/>
      <c r="AL39" s="17"/>
      <c r="AM39" s="21"/>
      <c r="AN39" s="22"/>
      <c r="AO39" s="22"/>
      <c r="AP39" s="22"/>
      <c r="AQ39" s="22"/>
      <c r="AR39" s="1"/>
      <c r="AS39" s="1"/>
      <c r="AT39" s="15"/>
      <c r="AU39" s="19"/>
      <c r="AV39" s="20"/>
      <c r="AW39" s="17"/>
      <c r="AX39" s="21"/>
      <c r="AY39" s="22"/>
      <c r="AZ39" s="22"/>
      <c r="BA39" s="22"/>
      <c r="BB39" s="22"/>
      <c r="BC39" s="1"/>
    </row>
    <row r="40" spans="1:55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5"/>
      <c r="N40" s="19"/>
      <c r="O40" s="20"/>
      <c r="P40" s="17"/>
      <c r="Q40" s="21"/>
      <c r="R40" s="22"/>
      <c r="S40" s="22"/>
      <c r="T40" s="22"/>
      <c r="U40" s="22"/>
      <c r="V40" s="1"/>
      <c r="W40" s="1"/>
      <c r="X40" s="15"/>
      <c r="Y40" s="19"/>
      <c r="Z40" s="20"/>
      <c r="AA40" s="17"/>
      <c r="AB40" s="21"/>
      <c r="AC40" s="22"/>
      <c r="AD40" s="22"/>
      <c r="AE40" s="22"/>
      <c r="AF40" s="22"/>
      <c r="AG40" s="1"/>
      <c r="AH40" s="1"/>
      <c r="AI40" s="15"/>
      <c r="AJ40" s="19"/>
      <c r="AK40" s="20"/>
      <c r="AL40" s="17"/>
      <c r="AM40" s="21"/>
      <c r="AN40" s="22"/>
      <c r="AO40" s="22"/>
      <c r="AP40" s="22"/>
      <c r="AQ40" s="22"/>
      <c r="AR40" s="1"/>
      <c r="AS40" s="1"/>
      <c r="AT40" s="15"/>
      <c r="AU40" s="19"/>
      <c r="AV40" s="20"/>
      <c r="AW40" s="17"/>
      <c r="AX40" s="21"/>
      <c r="AY40" s="22"/>
      <c r="AZ40" s="22"/>
      <c r="BA40" s="22"/>
      <c r="BB40" s="22"/>
      <c r="BC40" s="1"/>
    </row>
    <row r="41" spans="1:55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5"/>
      <c r="N41" s="19"/>
      <c r="O41" s="20"/>
      <c r="P41" s="17"/>
      <c r="Q41" s="21"/>
      <c r="R41" s="22"/>
      <c r="S41" s="22"/>
      <c r="T41" s="22"/>
      <c r="U41" s="22"/>
      <c r="V41" s="1"/>
      <c r="W41" s="1"/>
      <c r="X41" s="15"/>
      <c r="Y41" s="19"/>
      <c r="Z41" s="20"/>
      <c r="AA41" s="17"/>
      <c r="AB41" s="21"/>
      <c r="AC41" s="22"/>
      <c r="AD41" s="22"/>
      <c r="AE41" s="22"/>
      <c r="AF41" s="22"/>
      <c r="AG41" s="1"/>
      <c r="AH41" s="1"/>
      <c r="AI41" s="15"/>
      <c r="AJ41" s="19"/>
      <c r="AK41" s="20"/>
      <c r="AL41" s="17"/>
      <c r="AM41" s="21"/>
      <c r="AN41" s="22"/>
      <c r="AO41" s="22"/>
      <c r="AP41" s="22"/>
      <c r="AQ41" s="22"/>
      <c r="AR41" s="1"/>
      <c r="AS41" s="1"/>
      <c r="AT41" s="15"/>
      <c r="AU41" s="19"/>
      <c r="AV41" s="20"/>
      <c r="AW41" s="17"/>
      <c r="AX41" s="21"/>
      <c r="AY41" s="22"/>
      <c r="AZ41" s="22"/>
      <c r="BA41" s="22"/>
      <c r="BB41" s="22"/>
      <c r="BC41" s="1"/>
    </row>
    <row r="42" spans="1:55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5"/>
      <c r="N42" s="19"/>
      <c r="O42" s="20"/>
      <c r="P42" s="17"/>
      <c r="Q42" s="21"/>
      <c r="R42" s="22"/>
      <c r="S42" s="22"/>
      <c r="T42" s="22"/>
      <c r="U42" s="22"/>
      <c r="V42" s="1"/>
      <c r="W42" s="1"/>
      <c r="X42" s="15"/>
      <c r="Y42" s="19"/>
      <c r="Z42" s="20"/>
      <c r="AA42" s="17"/>
      <c r="AB42" s="21"/>
      <c r="AC42" s="22"/>
      <c r="AD42" s="22"/>
      <c r="AE42" s="22"/>
      <c r="AF42" s="22"/>
      <c r="AG42" s="1"/>
      <c r="AH42" s="1"/>
      <c r="AI42" s="15"/>
      <c r="AJ42" s="19"/>
      <c r="AK42" s="20"/>
      <c r="AL42" s="17"/>
      <c r="AM42" s="21"/>
      <c r="AN42" s="22"/>
      <c r="AO42" s="22"/>
      <c r="AP42" s="22"/>
      <c r="AQ42" s="22"/>
      <c r="AR42" s="1"/>
      <c r="AS42" s="1"/>
      <c r="AT42" s="15"/>
      <c r="AU42" s="19"/>
      <c r="AV42" s="20"/>
      <c r="AW42" s="17"/>
      <c r="AX42" s="21"/>
      <c r="AY42" s="22"/>
      <c r="AZ42" s="22"/>
      <c r="BA42" s="22"/>
      <c r="BB42" s="22"/>
      <c r="BC42" s="1"/>
    </row>
    <row r="43" spans="1:55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5"/>
      <c r="N43" s="19"/>
      <c r="O43" s="20"/>
      <c r="P43" s="17"/>
      <c r="Q43" s="21"/>
      <c r="R43" s="22"/>
      <c r="S43" s="22"/>
      <c r="T43" s="22"/>
      <c r="U43" s="22"/>
      <c r="V43" s="1"/>
      <c r="W43" s="1"/>
      <c r="X43" s="15"/>
      <c r="Y43" s="19"/>
      <c r="Z43" s="20"/>
      <c r="AA43" s="17"/>
      <c r="AB43" s="21"/>
      <c r="AC43" s="22"/>
      <c r="AD43" s="22"/>
      <c r="AE43" s="22"/>
      <c r="AF43" s="22"/>
      <c r="AG43" s="1"/>
      <c r="AH43" s="1"/>
      <c r="AI43" s="15"/>
      <c r="AJ43" s="19"/>
      <c r="AK43" s="20"/>
      <c r="AL43" s="17"/>
      <c r="AM43" s="21"/>
      <c r="AN43" s="22"/>
      <c r="AO43" s="22"/>
      <c r="AP43" s="22"/>
      <c r="AQ43" s="22"/>
      <c r="AR43" s="1"/>
      <c r="AS43" s="1"/>
      <c r="AT43" s="15"/>
      <c r="AU43" s="19"/>
      <c r="AV43" s="20"/>
      <c r="AW43" s="17"/>
      <c r="AX43" s="21"/>
      <c r="AY43" s="22"/>
      <c r="AZ43" s="22"/>
      <c r="BA43" s="22"/>
      <c r="BB43" s="22"/>
      <c r="BC43" s="1"/>
    </row>
    <row r="44" spans="1:55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5"/>
      <c r="N44" s="19"/>
      <c r="O44" s="20"/>
      <c r="P44" s="17"/>
      <c r="Q44" s="21"/>
      <c r="R44" s="22"/>
      <c r="S44" s="22"/>
      <c r="T44" s="22"/>
      <c r="U44" s="22"/>
      <c r="V44" s="1"/>
      <c r="W44" s="1"/>
      <c r="X44" s="15"/>
      <c r="Y44" s="19"/>
      <c r="Z44" s="20"/>
      <c r="AA44" s="17"/>
      <c r="AB44" s="21"/>
      <c r="AC44" s="22"/>
      <c r="AD44" s="22"/>
      <c r="AE44" s="22"/>
      <c r="AF44" s="22"/>
      <c r="AG44" s="1"/>
      <c r="AH44" s="1"/>
      <c r="AI44" s="15"/>
      <c r="AJ44" s="19"/>
      <c r="AK44" s="20"/>
      <c r="AL44" s="17"/>
      <c r="AM44" s="21"/>
      <c r="AN44" s="22"/>
      <c r="AO44" s="22"/>
      <c r="AP44" s="22"/>
      <c r="AQ44" s="22"/>
      <c r="AR44" s="1"/>
      <c r="AS44" s="1"/>
      <c r="AT44" s="15"/>
      <c r="AU44" s="19"/>
      <c r="AV44" s="20"/>
      <c r="AW44" s="17"/>
      <c r="AX44" s="21"/>
      <c r="AY44" s="22"/>
      <c r="AZ44" s="22"/>
      <c r="BA44" s="22"/>
      <c r="BB44" s="22"/>
      <c r="BC44" s="1"/>
    </row>
    <row r="45" spans="1:55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5"/>
      <c r="N45" s="19"/>
      <c r="O45" s="20"/>
      <c r="P45" s="17"/>
      <c r="Q45" s="21"/>
      <c r="R45" s="22"/>
      <c r="S45" s="22"/>
      <c r="T45" s="22"/>
      <c r="U45" s="22"/>
      <c r="V45" s="1"/>
      <c r="W45" s="1"/>
      <c r="X45" s="15"/>
      <c r="Y45" s="19"/>
      <c r="Z45" s="20"/>
      <c r="AA45" s="17"/>
      <c r="AB45" s="21"/>
      <c r="AC45" s="22"/>
      <c r="AD45" s="22"/>
      <c r="AE45" s="22"/>
      <c r="AF45" s="22"/>
      <c r="AG45" s="1"/>
      <c r="AH45" s="1"/>
      <c r="AI45" s="15"/>
      <c r="AJ45" s="19"/>
      <c r="AK45" s="20"/>
      <c r="AL45" s="17"/>
      <c r="AM45" s="21"/>
      <c r="AN45" s="22"/>
      <c r="AO45" s="22"/>
      <c r="AP45" s="22"/>
      <c r="AQ45" s="22"/>
      <c r="AR45" s="1"/>
      <c r="AS45" s="1"/>
      <c r="AT45" s="15"/>
      <c r="AU45" s="19"/>
      <c r="AV45" s="20"/>
      <c r="AW45" s="17"/>
      <c r="AX45" s="21"/>
      <c r="AY45" s="22"/>
      <c r="AZ45" s="22"/>
      <c r="BA45" s="22"/>
      <c r="BB45" s="22"/>
      <c r="BC45" s="1"/>
    </row>
    <row r="46" spans="1:55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5"/>
      <c r="N46" s="19"/>
      <c r="O46" s="20"/>
      <c r="P46" s="17"/>
      <c r="Q46" s="21"/>
      <c r="R46" s="22"/>
      <c r="S46" s="22"/>
      <c r="T46" s="22"/>
      <c r="U46" s="22"/>
      <c r="V46" s="1"/>
      <c r="W46" s="1"/>
      <c r="X46" s="15"/>
      <c r="Y46" s="19"/>
      <c r="Z46" s="20"/>
      <c r="AA46" s="17"/>
      <c r="AB46" s="21"/>
      <c r="AC46" s="22"/>
      <c r="AD46" s="22"/>
      <c r="AE46" s="22"/>
      <c r="AF46" s="22"/>
      <c r="AG46" s="1"/>
      <c r="AH46" s="1"/>
      <c r="AI46" s="15"/>
      <c r="AJ46" s="19"/>
      <c r="AK46" s="20"/>
      <c r="AL46" s="17"/>
      <c r="AM46" s="21"/>
      <c r="AN46" s="22"/>
      <c r="AO46" s="22"/>
      <c r="AP46" s="22"/>
      <c r="AQ46" s="22"/>
      <c r="AR46" s="1"/>
      <c r="AS46" s="1"/>
      <c r="AT46" s="15"/>
      <c r="AU46" s="19"/>
      <c r="AV46" s="20"/>
      <c r="AW46" s="17"/>
      <c r="AX46" s="21"/>
      <c r="AY46" s="22"/>
      <c r="AZ46" s="22"/>
      <c r="BA46" s="22"/>
      <c r="BB46" s="22"/>
      <c r="BC46" s="1"/>
    </row>
    <row r="47" spans="1:55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5"/>
      <c r="N47" s="19"/>
      <c r="O47" s="20"/>
      <c r="P47" s="17"/>
      <c r="Q47" s="21"/>
      <c r="R47" s="22"/>
      <c r="S47" s="22"/>
      <c r="T47" s="22"/>
      <c r="U47" s="22"/>
      <c r="V47" s="1"/>
      <c r="W47" s="1"/>
      <c r="X47" s="15"/>
      <c r="Y47" s="19"/>
      <c r="Z47" s="20"/>
      <c r="AA47" s="17"/>
      <c r="AB47" s="21"/>
      <c r="AC47" s="22"/>
      <c r="AD47" s="22"/>
      <c r="AE47" s="22"/>
      <c r="AF47" s="22"/>
      <c r="AG47" s="1"/>
      <c r="AH47" s="1"/>
      <c r="AI47" s="15"/>
      <c r="AJ47" s="19"/>
      <c r="AK47" s="20"/>
      <c r="AL47" s="17"/>
      <c r="AM47" s="21"/>
      <c r="AN47" s="22"/>
      <c r="AO47" s="22"/>
      <c r="AP47" s="22"/>
      <c r="AQ47" s="22"/>
      <c r="AR47" s="1"/>
      <c r="AS47" s="1"/>
      <c r="AT47" s="15"/>
      <c r="AU47" s="19"/>
      <c r="AV47" s="20"/>
      <c r="AW47" s="17"/>
      <c r="AX47" s="21"/>
      <c r="AY47" s="22"/>
      <c r="AZ47" s="22"/>
      <c r="BA47" s="22"/>
      <c r="BB47" s="22"/>
      <c r="BC47" s="1"/>
    </row>
    <row r="48" spans="1:55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5"/>
      <c r="N48" s="19"/>
      <c r="O48" s="20"/>
      <c r="P48" s="17"/>
      <c r="Q48" s="21"/>
      <c r="R48" s="22"/>
      <c r="S48" s="22"/>
      <c r="T48" s="22"/>
      <c r="U48" s="22"/>
      <c r="V48" s="1"/>
      <c r="W48" s="1"/>
      <c r="X48" s="15"/>
      <c r="Y48" s="19"/>
      <c r="Z48" s="20"/>
      <c r="AA48" s="17"/>
      <c r="AB48" s="21"/>
      <c r="AC48" s="22"/>
      <c r="AD48" s="22"/>
      <c r="AE48" s="22"/>
      <c r="AF48" s="22"/>
      <c r="AG48" s="1"/>
      <c r="AH48" s="1"/>
      <c r="AI48" s="15"/>
      <c r="AJ48" s="19"/>
      <c r="AK48" s="20"/>
      <c r="AL48" s="17"/>
      <c r="AM48" s="21"/>
      <c r="AN48" s="22"/>
      <c r="AO48" s="22"/>
      <c r="AP48" s="22"/>
      <c r="AQ48" s="22"/>
      <c r="AR48" s="1"/>
      <c r="AS48" s="1"/>
      <c r="AT48" s="15"/>
      <c r="AU48" s="19"/>
      <c r="AV48" s="20"/>
      <c r="AW48" s="17"/>
      <c r="AX48" s="21"/>
      <c r="AY48" s="22"/>
      <c r="AZ48" s="22"/>
      <c r="BA48" s="22"/>
      <c r="BB48" s="22"/>
      <c r="BC48" s="1"/>
    </row>
    <row r="49" spans="1:55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5"/>
      <c r="N49" s="19"/>
      <c r="O49" s="20"/>
      <c r="P49" s="17"/>
      <c r="Q49" s="21"/>
      <c r="R49" s="22"/>
      <c r="S49" s="22"/>
      <c r="T49" s="22"/>
      <c r="U49" s="22"/>
      <c r="V49" s="1"/>
      <c r="W49" s="1"/>
      <c r="X49" s="15"/>
      <c r="Y49" s="19"/>
      <c r="Z49" s="20"/>
      <c r="AA49" s="17"/>
      <c r="AB49" s="21"/>
      <c r="AC49" s="22"/>
      <c r="AD49" s="22"/>
      <c r="AE49" s="22"/>
      <c r="AF49" s="22"/>
      <c r="AG49" s="1"/>
      <c r="AH49" s="1"/>
      <c r="AI49" s="15"/>
      <c r="AJ49" s="19"/>
      <c r="AK49" s="20"/>
      <c r="AL49" s="17"/>
      <c r="AM49" s="21"/>
      <c r="AN49" s="22"/>
      <c r="AO49" s="22"/>
      <c r="AP49" s="22"/>
      <c r="AQ49" s="22"/>
      <c r="AR49" s="1"/>
      <c r="AS49" s="1"/>
      <c r="AT49" s="15"/>
      <c r="AU49" s="19"/>
      <c r="AV49" s="20"/>
      <c r="AW49" s="17"/>
      <c r="AX49" s="21"/>
      <c r="AY49" s="22"/>
      <c r="AZ49" s="22"/>
      <c r="BA49" s="22"/>
      <c r="BB49" s="22"/>
      <c r="BC49" s="1"/>
    </row>
    <row r="50" spans="1:55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5"/>
      <c r="N50" s="19"/>
      <c r="O50" s="20"/>
      <c r="P50" s="17"/>
      <c r="Q50" s="21"/>
      <c r="R50" s="22"/>
      <c r="S50" s="22"/>
      <c r="T50" s="22"/>
      <c r="U50" s="22"/>
      <c r="V50" s="1"/>
      <c r="W50" s="1"/>
      <c r="X50" s="15"/>
      <c r="Y50" s="19"/>
      <c r="Z50" s="20"/>
      <c r="AA50" s="17"/>
      <c r="AB50" s="21"/>
      <c r="AC50" s="22"/>
      <c r="AD50" s="22"/>
      <c r="AE50" s="22"/>
      <c r="AF50" s="22"/>
      <c r="AG50" s="1"/>
      <c r="AH50" s="1"/>
      <c r="AI50" s="15"/>
      <c r="AJ50" s="19"/>
      <c r="AK50" s="20"/>
      <c r="AL50" s="17"/>
      <c r="AM50" s="21"/>
      <c r="AN50" s="22"/>
      <c r="AO50" s="22"/>
      <c r="AP50" s="22"/>
      <c r="AQ50" s="22"/>
      <c r="AR50" s="1"/>
      <c r="AS50" s="1"/>
      <c r="AT50" s="15"/>
      <c r="AU50" s="19"/>
      <c r="AV50" s="20"/>
      <c r="AW50" s="17"/>
      <c r="AX50" s="21"/>
      <c r="AY50" s="22"/>
      <c r="AZ50" s="22"/>
      <c r="BA50" s="22"/>
      <c r="BB50" s="22"/>
      <c r="BC50" s="1"/>
    </row>
    <row r="51" spans="1:55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</row>
    <row r="52" spans="1:55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</row>
    <row r="53" spans="1:55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</row>
  </sheetData>
  <sheetProtection algorithmName="SHA-512" hashValue="wKPcS0569dhgpxen/AhZDlQui80klD+x6kutTobhBNGPCK78dZGJjpztb92lC/5dM3X/J/1Qrk4vQp3x4TO2cQ==" saltValue="l1yr4bTQ/OXPKXAdtekczA==" spinCount="100000" sheet="1" objects="1" scenarios="1" selectLockedCells="1"/>
  <mergeCells count="307">
    <mergeCell ref="AU9:AV9"/>
    <mergeCell ref="AX9:BB9"/>
    <mergeCell ref="N14:O14"/>
    <mergeCell ref="Q14:U14"/>
    <mergeCell ref="Y14:Z14"/>
    <mergeCell ref="AB14:AF14"/>
    <mergeCell ref="AJ14:AK14"/>
    <mergeCell ref="AM14:AQ14"/>
    <mergeCell ref="AU14:AV14"/>
    <mergeCell ref="AX14:BB14"/>
    <mergeCell ref="N9:O9"/>
    <mergeCell ref="Q9:U9"/>
    <mergeCell ref="Y9:Z9"/>
    <mergeCell ref="AB9:AF9"/>
    <mergeCell ref="AJ9:AK9"/>
    <mergeCell ref="AM9:AQ9"/>
    <mergeCell ref="AU15:AV15"/>
    <mergeCell ref="AX15:BB15"/>
    <mergeCell ref="N16:O16"/>
    <mergeCell ref="Q16:U16"/>
    <mergeCell ref="Y16:Z16"/>
    <mergeCell ref="AB16:AF16"/>
    <mergeCell ref="AJ16:AK16"/>
    <mergeCell ref="AM16:AQ16"/>
    <mergeCell ref="AU16:AV16"/>
    <mergeCell ref="AX16:BB16"/>
    <mergeCell ref="N15:O15"/>
    <mergeCell ref="Q15:U15"/>
    <mergeCell ref="Y15:Z15"/>
    <mergeCell ref="AB15:AF15"/>
    <mergeCell ref="AJ15:AK15"/>
    <mergeCell ref="AM15:AQ15"/>
    <mergeCell ref="AU17:AV17"/>
    <mergeCell ref="AX17:BB17"/>
    <mergeCell ref="C18:D18"/>
    <mergeCell ref="E18:F18"/>
    <mergeCell ref="G18:H18"/>
    <mergeCell ref="N18:O18"/>
    <mergeCell ref="Q18:U18"/>
    <mergeCell ref="Y18:Z18"/>
    <mergeCell ref="AB18:AF18"/>
    <mergeCell ref="AJ18:AK18"/>
    <mergeCell ref="N17:O17"/>
    <mergeCell ref="Q17:U17"/>
    <mergeCell ref="Y17:Z17"/>
    <mergeCell ref="AB17:AF17"/>
    <mergeCell ref="AJ17:AK17"/>
    <mergeCell ref="AM17:AQ17"/>
    <mergeCell ref="AM18:AQ18"/>
    <mergeCell ref="AU18:AV18"/>
    <mergeCell ref="AX18:BB18"/>
    <mergeCell ref="N19:O19"/>
    <mergeCell ref="Q19:U19"/>
    <mergeCell ref="Y19:Z19"/>
    <mergeCell ref="AB19:AF19"/>
    <mergeCell ref="AJ19:AK19"/>
    <mergeCell ref="AM19:AQ19"/>
    <mergeCell ref="AU19:AV19"/>
    <mergeCell ref="AX19:BB19"/>
    <mergeCell ref="N20:O20"/>
    <mergeCell ref="Q20:U20"/>
    <mergeCell ref="Y20:Z20"/>
    <mergeCell ref="AB20:AF20"/>
    <mergeCell ref="AJ20:AK20"/>
    <mergeCell ref="AM20:AQ20"/>
    <mergeCell ref="AU20:AV20"/>
    <mergeCell ref="AX20:BB20"/>
    <mergeCell ref="AU21:AV21"/>
    <mergeCell ref="AX21:BB21"/>
    <mergeCell ref="N22:O22"/>
    <mergeCell ref="Q22:U22"/>
    <mergeCell ref="Y22:Z22"/>
    <mergeCell ref="AB22:AF22"/>
    <mergeCell ref="AJ22:AK22"/>
    <mergeCell ref="AM22:AQ22"/>
    <mergeCell ref="AU22:AV22"/>
    <mergeCell ref="AX22:BB22"/>
    <mergeCell ref="N21:O21"/>
    <mergeCell ref="Q21:U21"/>
    <mergeCell ref="Y21:Z21"/>
    <mergeCell ref="AB21:AF21"/>
    <mergeCell ref="AJ21:AK21"/>
    <mergeCell ref="AM21:AQ21"/>
    <mergeCell ref="AU23:AV23"/>
    <mergeCell ref="AX23:BB23"/>
    <mergeCell ref="N24:O24"/>
    <mergeCell ref="Q24:U24"/>
    <mergeCell ref="Y24:Z24"/>
    <mergeCell ref="AB24:AF24"/>
    <mergeCell ref="AJ24:AK24"/>
    <mergeCell ref="AM24:AQ24"/>
    <mergeCell ref="AU24:AV24"/>
    <mergeCell ref="AX24:BB24"/>
    <mergeCell ref="N23:O23"/>
    <mergeCell ref="Q23:U23"/>
    <mergeCell ref="Y23:Z23"/>
    <mergeCell ref="AB23:AF23"/>
    <mergeCell ref="AJ23:AK23"/>
    <mergeCell ref="AM23:AQ23"/>
    <mergeCell ref="AU25:AV25"/>
    <mergeCell ref="AX25:BB25"/>
    <mergeCell ref="N26:O26"/>
    <mergeCell ref="Q26:U26"/>
    <mergeCell ref="Y26:Z26"/>
    <mergeCell ref="AB26:AF26"/>
    <mergeCell ref="AJ26:AK26"/>
    <mergeCell ref="AM26:AQ26"/>
    <mergeCell ref="AU26:AV26"/>
    <mergeCell ref="AX26:BB26"/>
    <mergeCell ref="N25:O25"/>
    <mergeCell ref="Q25:U25"/>
    <mergeCell ref="Y25:Z25"/>
    <mergeCell ref="AB25:AF25"/>
    <mergeCell ref="AJ25:AK25"/>
    <mergeCell ref="AM25:AQ25"/>
    <mergeCell ref="AU27:AV27"/>
    <mergeCell ref="AX27:BB27"/>
    <mergeCell ref="N28:O28"/>
    <mergeCell ref="Q28:U28"/>
    <mergeCell ref="Y28:Z28"/>
    <mergeCell ref="AB28:AF28"/>
    <mergeCell ref="AJ28:AK28"/>
    <mergeCell ref="AM28:AQ28"/>
    <mergeCell ref="AU28:AV28"/>
    <mergeCell ref="AX28:BB28"/>
    <mergeCell ref="N27:O27"/>
    <mergeCell ref="Q27:U27"/>
    <mergeCell ref="Y27:Z27"/>
    <mergeCell ref="AB27:AF27"/>
    <mergeCell ref="AJ27:AK27"/>
    <mergeCell ref="AM27:AQ27"/>
    <mergeCell ref="AU29:AV29"/>
    <mergeCell ref="AX29:BB29"/>
    <mergeCell ref="N30:O30"/>
    <mergeCell ref="Q30:U30"/>
    <mergeCell ref="Y30:Z30"/>
    <mergeCell ref="AB30:AF30"/>
    <mergeCell ref="AJ30:AK30"/>
    <mergeCell ref="AM30:AQ30"/>
    <mergeCell ref="AU30:AV30"/>
    <mergeCell ref="AX30:BB30"/>
    <mergeCell ref="N29:O29"/>
    <mergeCell ref="Q29:U29"/>
    <mergeCell ref="Y29:Z29"/>
    <mergeCell ref="AB29:AF29"/>
    <mergeCell ref="AJ29:AK29"/>
    <mergeCell ref="AM29:AQ29"/>
    <mergeCell ref="AU31:AV31"/>
    <mergeCell ref="AX31:BB31"/>
    <mergeCell ref="N32:O32"/>
    <mergeCell ref="Q32:U32"/>
    <mergeCell ref="Y32:Z32"/>
    <mergeCell ref="AB32:AF32"/>
    <mergeCell ref="AJ32:AK32"/>
    <mergeCell ref="AM32:AQ32"/>
    <mergeCell ref="AU32:AV32"/>
    <mergeCell ref="AX32:BB32"/>
    <mergeCell ref="N31:O31"/>
    <mergeCell ref="Q31:U31"/>
    <mergeCell ref="Y31:Z31"/>
    <mergeCell ref="AB31:AF31"/>
    <mergeCell ref="AJ31:AK31"/>
    <mergeCell ref="AM31:AQ31"/>
    <mergeCell ref="AU33:AV33"/>
    <mergeCell ref="AX33:BB33"/>
    <mergeCell ref="N34:O34"/>
    <mergeCell ref="Q34:U34"/>
    <mergeCell ref="Y34:Z34"/>
    <mergeCell ref="AB34:AF34"/>
    <mergeCell ref="AJ34:AK34"/>
    <mergeCell ref="AM34:AQ34"/>
    <mergeCell ref="AU34:AV34"/>
    <mergeCell ref="AX34:BB34"/>
    <mergeCell ref="N33:O33"/>
    <mergeCell ref="Q33:U33"/>
    <mergeCell ref="Y33:Z33"/>
    <mergeCell ref="AB33:AF33"/>
    <mergeCell ref="AJ33:AK33"/>
    <mergeCell ref="AM33:AQ33"/>
    <mergeCell ref="AU35:AV35"/>
    <mergeCell ref="AX35:BB35"/>
    <mergeCell ref="N36:O36"/>
    <mergeCell ref="Q36:U36"/>
    <mergeCell ref="Y36:Z36"/>
    <mergeCell ref="AB36:AF36"/>
    <mergeCell ref="AJ36:AK36"/>
    <mergeCell ref="AM36:AQ36"/>
    <mergeCell ref="AU36:AV36"/>
    <mergeCell ref="AX36:BB36"/>
    <mergeCell ref="N35:O35"/>
    <mergeCell ref="Q35:U35"/>
    <mergeCell ref="Y35:Z35"/>
    <mergeCell ref="AB35:AF35"/>
    <mergeCell ref="AJ35:AK35"/>
    <mergeCell ref="AM35:AQ35"/>
    <mergeCell ref="AU37:AV37"/>
    <mergeCell ref="AX37:BB37"/>
    <mergeCell ref="N38:O38"/>
    <mergeCell ref="Q38:U38"/>
    <mergeCell ref="Y38:Z38"/>
    <mergeCell ref="AB38:AF38"/>
    <mergeCell ref="AJ38:AK38"/>
    <mergeCell ref="AM38:AQ38"/>
    <mergeCell ref="AU38:AV38"/>
    <mergeCell ref="AX38:BB38"/>
    <mergeCell ref="N37:O37"/>
    <mergeCell ref="Q37:U37"/>
    <mergeCell ref="Y37:Z37"/>
    <mergeCell ref="AB37:AF37"/>
    <mergeCell ref="AJ37:AK37"/>
    <mergeCell ref="AM37:AQ37"/>
    <mergeCell ref="AU39:AV39"/>
    <mergeCell ref="AX39:BB39"/>
    <mergeCell ref="N40:O40"/>
    <mergeCell ref="Q40:U40"/>
    <mergeCell ref="Y40:Z40"/>
    <mergeCell ref="AB40:AF40"/>
    <mergeCell ref="AJ40:AK40"/>
    <mergeCell ref="AM40:AQ40"/>
    <mergeCell ref="AU40:AV40"/>
    <mergeCell ref="AX40:BB40"/>
    <mergeCell ref="N39:O39"/>
    <mergeCell ref="Q39:U39"/>
    <mergeCell ref="Y39:Z39"/>
    <mergeCell ref="AB39:AF39"/>
    <mergeCell ref="AJ39:AK39"/>
    <mergeCell ref="AM39:AQ39"/>
    <mergeCell ref="AU41:AV41"/>
    <mergeCell ref="AX41:BB41"/>
    <mergeCell ref="N42:O42"/>
    <mergeCell ref="Q42:U42"/>
    <mergeCell ref="Y42:Z42"/>
    <mergeCell ref="AB42:AF42"/>
    <mergeCell ref="AJ42:AK42"/>
    <mergeCell ref="AM42:AQ42"/>
    <mergeCell ref="AU42:AV42"/>
    <mergeCell ref="AX42:BB42"/>
    <mergeCell ref="N41:O41"/>
    <mergeCell ref="Q41:U41"/>
    <mergeCell ref="Y41:Z41"/>
    <mergeCell ref="AB41:AF41"/>
    <mergeCell ref="AJ41:AK41"/>
    <mergeCell ref="AM41:AQ41"/>
    <mergeCell ref="AU43:AV43"/>
    <mergeCell ref="AX43:BB43"/>
    <mergeCell ref="N44:O44"/>
    <mergeCell ref="Q44:U44"/>
    <mergeCell ref="Y44:Z44"/>
    <mergeCell ref="AB44:AF44"/>
    <mergeCell ref="AJ44:AK44"/>
    <mergeCell ref="AM44:AQ44"/>
    <mergeCell ref="AU44:AV44"/>
    <mergeCell ref="AX44:BB44"/>
    <mergeCell ref="N43:O43"/>
    <mergeCell ref="Q43:U43"/>
    <mergeCell ref="Y43:Z43"/>
    <mergeCell ref="AB43:AF43"/>
    <mergeCell ref="AJ43:AK43"/>
    <mergeCell ref="AM43:AQ43"/>
    <mergeCell ref="AU45:AV45"/>
    <mergeCell ref="AX45:BB45"/>
    <mergeCell ref="N46:O46"/>
    <mergeCell ref="Q46:U46"/>
    <mergeCell ref="Y46:Z46"/>
    <mergeCell ref="AB46:AF46"/>
    <mergeCell ref="AJ46:AK46"/>
    <mergeCell ref="AM46:AQ46"/>
    <mergeCell ref="AU46:AV46"/>
    <mergeCell ref="AX46:BB46"/>
    <mergeCell ref="N45:O45"/>
    <mergeCell ref="Q45:U45"/>
    <mergeCell ref="Y45:Z45"/>
    <mergeCell ref="AB45:AF45"/>
    <mergeCell ref="AJ45:AK45"/>
    <mergeCell ref="AM45:AQ45"/>
    <mergeCell ref="AU47:AV47"/>
    <mergeCell ref="AX47:BB47"/>
    <mergeCell ref="N48:O48"/>
    <mergeCell ref="Q48:U48"/>
    <mergeCell ref="Y48:Z48"/>
    <mergeCell ref="AB48:AF48"/>
    <mergeCell ref="AJ48:AK48"/>
    <mergeCell ref="AM48:AQ48"/>
    <mergeCell ref="AU48:AV48"/>
    <mergeCell ref="AX48:BB48"/>
    <mergeCell ref="N47:O47"/>
    <mergeCell ref="Q47:U47"/>
    <mergeCell ref="Y47:Z47"/>
    <mergeCell ref="AB47:AF47"/>
    <mergeCell ref="AJ47:AK47"/>
    <mergeCell ref="AM47:AQ47"/>
    <mergeCell ref="AU49:AV49"/>
    <mergeCell ref="AX49:BB49"/>
    <mergeCell ref="N50:O50"/>
    <mergeCell ref="Q50:U50"/>
    <mergeCell ref="Y50:Z50"/>
    <mergeCell ref="AB50:AF50"/>
    <mergeCell ref="AJ50:AK50"/>
    <mergeCell ref="AM50:AQ50"/>
    <mergeCell ref="AU50:AV50"/>
    <mergeCell ref="AX50:BB50"/>
    <mergeCell ref="N49:O49"/>
    <mergeCell ref="Q49:U49"/>
    <mergeCell ref="Y49:Z49"/>
    <mergeCell ref="AB49:AF49"/>
    <mergeCell ref="AJ49:AK49"/>
    <mergeCell ref="AM49:AQ49"/>
  </mergeCells>
  <conditionalFormatting sqref="M14:M50 X14:X50 AI14:AI50 AT14:AT51">
    <cfRule type="duplicateValues" dxfId="1" priority="1"/>
  </conditionalFormatting>
  <dataValidations count="1">
    <dataValidation type="list" allowBlank="1" showInputMessage="1" showErrorMessage="1" sqref="AJ10:AK13 N10:O13 AU10:AV13 Y10:Z13" xr:uid="{70140DEE-A34A-4A57-9DCF-7654B2797BEA}">
      <formula1>#REF!</formula1>
    </dataValidation>
  </dataValidations>
  <printOptions horizontalCentered="1" verticalCentered="1"/>
  <pageMargins left="0.15" right="0.15" top="0.15" bottom="0.15" header="0.15" footer="0.15"/>
  <pageSetup orientation="portrait" horizontalDpi="300" verticalDpi="300" r:id="rId1"/>
  <headerFooter scaleWithDoc="0"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3908F8A-2E1E-4DEA-98A0-36216A314C65}">
          <x14:formula1>
            <xm:f>'Mapping table_1'!$F$5:$F$22</xm:f>
          </x14:formula1>
          <xm:sqref>Y14:Z50 AU14:AV50 AJ14:AK50</xm:sqref>
        </x14:dataValidation>
        <x14:dataValidation type="list" allowBlank="1" showInputMessage="1" showErrorMessage="1" xr:uid="{AB47D830-5AE2-4AE9-B9EF-960178E798E4}">
          <x14:formula1>
            <xm:f>'Mapping table_1'!$F$5:$F$26</xm:f>
          </x14:formula1>
          <xm:sqref>N14:O50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31FB4-7C96-4725-BF79-3D86442C355F}">
  <sheetPr codeName="Sheet6"/>
  <dimension ref="D3:J27"/>
  <sheetViews>
    <sheetView workbookViewId="0">
      <selection sqref="A1:XFD1048576"/>
    </sheetView>
  </sheetViews>
  <sheetFormatPr defaultRowHeight="15" x14ac:dyDescent="0.25"/>
  <cols>
    <col min="5" max="5" width="18.42578125" bestFit="1" customWidth="1"/>
    <col min="6" max="6" width="16.85546875" bestFit="1" customWidth="1"/>
    <col min="16" max="16" width="8.85546875" bestFit="1" customWidth="1"/>
    <col min="17" max="17" width="14.5703125" bestFit="1" customWidth="1"/>
    <col min="18" max="18" width="224.5703125" bestFit="1" customWidth="1"/>
  </cols>
  <sheetData>
    <row r="3" spans="4:10" x14ac:dyDescent="0.25">
      <c r="E3" s="25" t="s">
        <v>5</v>
      </c>
      <c r="F3" s="25"/>
      <c r="G3" s="25"/>
      <c r="H3" s="25"/>
      <c r="I3" s="25"/>
      <c r="J3" s="25"/>
    </row>
    <row r="4" spans="4:10" x14ac:dyDescent="0.25">
      <c r="D4" t="s">
        <v>19</v>
      </c>
      <c r="E4" t="s">
        <v>8</v>
      </c>
      <c r="F4" t="s">
        <v>20</v>
      </c>
      <c r="G4" s="6" t="s">
        <v>17</v>
      </c>
      <c r="H4" s="2" t="s">
        <v>6</v>
      </c>
      <c r="I4" s="2" t="s">
        <v>7</v>
      </c>
      <c r="J4" s="2" t="s">
        <v>18</v>
      </c>
    </row>
    <row r="5" spans="4:10" x14ac:dyDescent="0.25">
      <c r="D5">
        <v>1</v>
      </c>
      <c r="E5" t="s">
        <v>9</v>
      </c>
      <c r="F5" t="s">
        <v>25</v>
      </c>
      <c r="G5" s="2" cm="1">
        <f t="array" aca="1" ref="G5:G26" ca="1">SUMIF('March 2025'!N14:P50,'Mapping table_3'!F5:F26,'March 2025'!P14:P50)</f>
        <v>0</v>
      </c>
      <c r="H5" s="2" cm="1">
        <f t="array" aca="1" ref="H5:H26" ca="1">SUMIF('March 2025'!Y14:AA50,'Mapping table_3'!F5:F26,'March 2025'!AA14:AA50)</f>
        <v>0</v>
      </c>
      <c r="I5" s="2" cm="1">
        <f t="array" aca="1" ref="I5:I26" ca="1">SUMIF('March 2025'!AJ14:AL50,'Mapping table_3'!F5:F26,'March 2025'!AL14:AL50)</f>
        <v>0</v>
      </c>
      <c r="J5" s="2" cm="1">
        <f t="array" aca="1" ref="J5:J26" ca="1">SUMIF('March 2025'!AU14:AW50,'Mapping table_3'!F5:F26,'March 2025'!AW14:AW50)</f>
        <v>0</v>
      </c>
    </row>
    <row r="6" spans="4:10" x14ac:dyDescent="0.25">
      <c r="D6">
        <v>2</v>
      </c>
      <c r="E6" t="s">
        <v>9</v>
      </c>
      <c r="F6" t="s">
        <v>26</v>
      </c>
      <c r="G6" s="2">
        <f ca="1"/>
        <v>0</v>
      </c>
      <c r="H6" s="2">
        <f ca="1"/>
        <v>0</v>
      </c>
      <c r="I6" s="2">
        <f ca="1"/>
        <v>0</v>
      </c>
      <c r="J6" s="2">
        <f ca="1"/>
        <v>0</v>
      </c>
    </row>
    <row r="7" spans="4:10" x14ac:dyDescent="0.25">
      <c r="D7">
        <v>3</v>
      </c>
      <c r="E7" t="s">
        <v>9</v>
      </c>
      <c r="F7" t="s">
        <v>27</v>
      </c>
      <c r="G7" s="2">
        <f ca="1"/>
        <v>0</v>
      </c>
      <c r="H7" s="2">
        <f ca="1"/>
        <v>0</v>
      </c>
      <c r="I7" s="2">
        <f ca="1"/>
        <v>0</v>
      </c>
      <c r="J7" s="2">
        <f ca="1"/>
        <v>0</v>
      </c>
    </row>
    <row r="8" spans="4:10" x14ac:dyDescent="0.25">
      <c r="D8">
        <v>4</v>
      </c>
      <c r="E8" t="s">
        <v>9</v>
      </c>
      <c r="F8" t="s">
        <v>28</v>
      </c>
      <c r="G8" s="2">
        <f ca="1"/>
        <v>0</v>
      </c>
      <c r="H8" s="2">
        <f ca="1"/>
        <v>0</v>
      </c>
      <c r="I8" s="2">
        <f ca="1"/>
        <v>0</v>
      </c>
      <c r="J8" s="2">
        <f ca="1"/>
        <v>0</v>
      </c>
    </row>
    <row r="9" spans="4:10" x14ac:dyDescent="0.25">
      <c r="D9">
        <v>5</v>
      </c>
      <c r="E9" t="s">
        <v>9</v>
      </c>
      <c r="F9" t="s">
        <v>29</v>
      </c>
      <c r="G9" s="2">
        <f ca="1"/>
        <v>0</v>
      </c>
      <c r="H9" s="2">
        <f ca="1"/>
        <v>0</v>
      </c>
      <c r="I9" s="2">
        <f ca="1"/>
        <v>0</v>
      </c>
      <c r="J9" s="2">
        <f ca="1"/>
        <v>0</v>
      </c>
    </row>
    <row r="10" spans="4:10" x14ac:dyDescent="0.25">
      <c r="D10">
        <v>6</v>
      </c>
      <c r="E10" t="s">
        <v>9</v>
      </c>
      <c r="F10" t="s">
        <v>30</v>
      </c>
      <c r="G10" s="2">
        <f ca="1"/>
        <v>2</v>
      </c>
      <c r="H10" s="2">
        <f ca="1"/>
        <v>0</v>
      </c>
      <c r="I10" s="2">
        <f ca="1"/>
        <v>0</v>
      </c>
      <c r="J10" s="2">
        <f ca="1"/>
        <v>0</v>
      </c>
    </row>
    <row r="11" spans="4:10" x14ac:dyDescent="0.25">
      <c r="D11">
        <v>7</v>
      </c>
      <c r="E11" t="s">
        <v>9</v>
      </c>
      <c r="F11" t="s">
        <v>31</v>
      </c>
      <c r="G11" s="2">
        <f ca="1"/>
        <v>0</v>
      </c>
      <c r="H11" s="2">
        <f ca="1"/>
        <v>0</v>
      </c>
      <c r="I11" s="2">
        <f ca="1"/>
        <v>0</v>
      </c>
      <c r="J11" s="2">
        <f ca="1"/>
        <v>0</v>
      </c>
    </row>
    <row r="12" spans="4:10" x14ac:dyDescent="0.25">
      <c r="D12">
        <v>8</v>
      </c>
      <c r="E12" t="s">
        <v>10</v>
      </c>
      <c r="F12" t="s">
        <v>21</v>
      </c>
      <c r="G12" s="2">
        <f ca="1"/>
        <v>0</v>
      </c>
      <c r="H12" s="2">
        <f ca="1"/>
        <v>0</v>
      </c>
      <c r="I12" s="2">
        <f ca="1"/>
        <v>0</v>
      </c>
      <c r="J12" s="2">
        <f ca="1"/>
        <v>0</v>
      </c>
    </row>
    <row r="13" spans="4:10" x14ac:dyDescent="0.25">
      <c r="D13">
        <v>9</v>
      </c>
      <c r="E13" t="s">
        <v>10</v>
      </c>
      <c r="F13" t="s">
        <v>22</v>
      </c>
      <c r="G13" s="2">
        <f ca="1"/>
        <v>0</v>
      </c>
      <c r="H13" s="2">
        <f ca="1"/>
        <v>0</v>
      </c>
      <c r="I13" s="2">
        <f ca="1"/>
        <v>0</v>
      </c>
      <c r="J13" s="2">
        <f ca="1"/>
        <v>0</v>
      </c>
    </row>
    <row r="14" spans="4:10" x14ac:dyDescent="0.25">
      <c r="D14">
        <v>10</v>
      </c>
      <c r="E14" t="s">
        <v>10</v>
      </c>
      <c r="F14" t="s">
        <v>23</v>
      </c>
      <c r="G14" s="2">
        <f ca="1"/>
        <v>0</v>
      </c>
      <c r="H14" s="2">
        <f ca="1"/>
        <v>0</v>
      </c>
      <c r="I14" s="2">
        <f ca="1"/>
        <v>0</v>
      </c>
      <c r="J14" s="2">
        <f ca="1"/>
        <v>0</v>
      </c>
    </row>
    <row r="15" spans="4:10" x14ac:dyDescent="0.25">
      <c r="D15">
        <v>11</v>
      </c>
      <c r="E15" t="s">
        <v>10</v>
      </c>
      <c r="F15" t="s">
        <v>24</v>
      </c>
      <c r="G15" s="2">
        <f ca="1"/>
        <v>0</v>
      </c>
      <c r="H15" s="2">
        <f ca="1"/>
        <v>0</v>
      </c>
      <c r="I15" s="2">
        <f ca="1"/>
        <v>0</v>
      </c>
      <c r="J15" s="2">
        <f ca="1"/>
        <v>0</v>
      </c>
    </row>
    <row r="16" spans="4:10" x14ac:dyDescent="0.25">
      <c r="D16">
        <v>12</v>
      </c>
      <c r="E16" t="s">
        <v>10</v>
      </c>
      <c r="F16" t="s">
        <v>11</v>
      </c>
      <c r="G16" s="2">
        <f ca="1"/>
        <v>0</v>
      </c>
      <c r="H16" s="2">
        <f ca="1"/>
        <v>0</v>
      </c>
      <c r="I16" s="2">
        <f ca="1"/>
        <v>0</v>
      </c>
      <c r="J16" s="2">
        <f ca="1"/>
        <v>0</v>
      </c>
    </row>
    <row r="17" spans="4:10" x14ac:dyDescent="0.25">
      <c r="D17">
        <v>13</v>
      </c>
      <c r="E17" t="s">
        <v>10</v>
      </c>
      <c r="F17" t="s">
        <v>32</v>
      </c>
      <c r="G17" s="2">
        <f ca="1"/>
        <v>0</v>
      </c>
      <c r="H17" s="2">
        <f ca="1"/>
        <v>0</v>
      </c>
      <c r="I17" s="2">
        <f ca="1"/>
        <v>0</v>
      </c>
      <c r="J17" s="2">
        <f ca="1"/>
        <v>0</v>
      </c>
    </row>
    <row r="18" spans="4:10" x14ac:dyDescent="0.25">
      <c r="D18">
        <v>14</v>
      </c>
      <c r="E18" t="s">
        <v>10</v>
      </c>
      <c r="F18" t="s">
        <v>33</v>
      </c>
      <c r="G18" s="2">
        <f ca="1"/>
        <v>0</v>
      </c>
      <c r="H18" s="2">
        <f ca="1"/>
        <v>0</v>
      </c>
      <c r="I18" s="2">
        <f ca="1"/>
        <v>0</v>
      </c>
      <c r="J18" s="2">
        <f ca="1"/>
        <v>0</v>
      </c>
    </row>
    <row r="19" spans="4:10" x14ac:dyDescent="0.25">
      <c r="D19">
        <v>15</v>
      </c>
      <c r="E19" t="s">
        <v>12</v>
      </c>
      <c r="F19" t="s">
        <v>13</v>
      </c>
      <c r="G19" s="2">
        <f ca="1"/>
        <v>3</v>
      </c>
      <c r="H19" s="2">
        <f ca="1"/>
        <v>0</v>
      </c>
      <c r="I19" s="2">
        <f ca="1"/>
        <v>0</v>
      </c>
      <c r="J19" s="2">
        <f ca="1"/>
        <v>0</v>
      </c>
    </row>
    <row r="20" spans="4:10" x14ac:dyDescent="0.25">
      <c r="D20">
        <v>16</v>
      </c>
      <c r="E20" t="s">
        <v>12</v>
      </c>
      <c r="F20" t="s">
        <v>14</v>
      </c>
      <c r="G20" s="2">
        <f ca="1"/>
        <v>0</v>
      </c>
      <c r="H20" s="2">
        <f ca="1"/>
        <v>0</v>
      </c>
      <c r="I20" s="2">
        <f ca="1"/>
        <v>0</v>
      </c>
      <c r="J20" s="2">
        <f ca="1"/>
        <v>0</v>
      </c>
    </row>
    <row r="21" spans="4:10" x14ac:dyDescent="0.25">
      <c r="D21">
        <v>17</v>
      </c>
      <c r="E21" t="s">
        <v>12</v>
      </c>
      <c r="F21" t="s">
        <v>15</v>
      </c>
      <c r="G21" s="2">
        <f ca="1"/>
        <v>0</v>
      </c>
      <c r="H21" s="2">
        <f ca="1"/>
        <v>0</v>
      </c>
      <c r="I21" s="2">
        <f ca="1"/>
        <v>0</v>
      </c>
      <c r="J21" s="2">
        <f ca="1"/>
        <v>0</v>
      </c>
    </row>
    <row r="22" spans="4:10" x14ac:dyDescent="0.25">
      <c r="D22">
        <v>18</v>
      </c>
      <c r="E22" t="s">
        <v>16</v>
      </c>
      <c r="F22" t="s">
        <v>0</v>
      </c>
      <c r="G22" s="2">
        <f ca="1"/>
        <v>0</v>
      </c>
      <c r="H22" s="2">
        <f ca="1"/>
        <v>0</v>
      </c>
      <c r="I22" s="2">
        <f ca="1"/>
        <v>0</v>
      </c>
      <c r="J22" s="2">
        <f ca="1"/>
        <v>0</v>
      </c>
    </row>
    <row r="23" spans="4:10" x14ac:dyDescent="0.25">
      <c r="D23">
        <v>19</v>
      </c>
      <c r="E23" t="s">
        <v>16</v>
      </c>
      <c r="F23" t="s">
        <v>1</v>
      </c>
      <c r="G23" s="2">
        <f ca="1"/>
        <v>0</v>
      </c>
      <c r="H23" s="2">
        <f ca="1"/>
        <v>0</v>
      </c>
      <c r="I23" s="2">
        <f ca="1"/>
        <v>0</v>
      </c>
      <c r="J23" s="2">
        <f ca="1"/>
        <v>0</v>
      </c>
    </row>
    <row r="24" spans="4:10" x14ac:dyDescent="0.25">
      <c r="D24">
        <v>20</v>
      </c>
      <c r="E24" t="s">
        <v>16</v>
      </c>
      <c r="F24" t="s">
        <v>2</v>
      </c>
      <c r="G24" s="2">
        <f ca="1"/>
        <v>0</v>
      </c>
      <c r="H24" s="2">
        <f ca="1"/>
        <v>0</v>
      </c>
      <c r="I24" s="2">
        <f ca="1"/>
        <v>0</v>
      </c>
      <c r="J24" s="2">
        <f ca="1"/>
        <v>0</v>
      </c>
    </row>
    <row r="25" spans="4:10" x14ac:dyDescent="0.25">
      <c r="D25">
        <v>21</v>
      </c>
      <c r="E25" t="s">
        <v>16</v>
      </c>
      <c r="F25" t="s">
        <v>3</v>
      </c>
      <c r="G25" s="2">
        <f ca="1"/>
        <v>3</v>
      </c>
      <c r="H25" s="2">
        <f ca="1"/>
        <v>0</v>
      </c>
      <c r="I25" s="2">
        <f ca="1"/>
        <v>0</v>
      </c>
      <c r="J25" s="2">
        <f ca="1"/>
        <v>0</v>
      </c>
    </row>
    <row r="26" spans="4:10" x14ac:dyDescent="0.25">
      <c r="D26">
        <v>22</v>
      </c>
      <c r="E26" t="s">
        <v>16</v>
      </c>
      <c r="F26" t="s">
        <v>4</v>
      </c>
      <c r="G26" s="2">
        <f ca="1"/>
        <v>7</v>
      </c>
      <c r="H26" s="2">
        <f ca="1"/>
        <v>2</v>
      </c>
      <c r="I26" s="2">
        <f ca="1"/>
        <v>2</v>
      </c>
      <c r="J26" s="2">
        <f ca="1"/>
        <v>0</v>
      </c>
    </row>
    <row r="27" spans="4:10" x14ac:dyDescent="0.25">
      <c r="G27">
        <f ca="1">SUM(_xlfn.ANCHORARRAY(G5))</f>
        <v>15</v>
      </c>
      <c r="H27">
        <f t="shared" ref="H27:J27" ca="1" si="0">SUM(_xlfn.ANCHORARRAY(H5))</f>
        <v>2</v>
      </c>
      <c r="I27">
        <f t="shared" ca="1" si="0"/>
        <v>2</v>
      </c>
      <c r="J27">
        <f t="shared" ca="1" si="0"/>
        <v>0</v>
      </c>
    </row>
  </sheetData>
  <sheetProtection algorithmName="SHA-512" hashValue="Xxz8NzMscN5qWKChLhFdwmBfkTlGMuvtzjw1DUJFbKyLCBBLANnTzQ5dvHy8dKD0Rjl8DhByg43dOa88Wl5bLA==" saltValue="KDXVkEvB/lk/QG/YrBAPWg==" spinCount="100000" sheet="1" objects="1" scenarios="1" selectLockedCells="1"/>
  <mergeCells count="1">
    <mergeCell ref="E3:J3"/>
  </mergeCells>
  <conditionalFormatting sqref="F5:F2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January 2025</vt:lpstr>
      <vt:lpstr>Mapping table_1</vt:lpstr>
      <vt:lpstr>February 2025</vt:lpstr>
      <vt:lpstr>Mapping table_2</vt:lpstr>
      <vt:lpstr>March 2025</vt:lpstr>
      <vt:lpstr>Mapping table_3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Mukesh Ravichandran</dc:creator>
  <cp:lastModifiedBy>Mukesh Ravichandran</cp:lastModifiedBy>
  <cp:lastPrinted>2024-12-19T23:00:49Z</cp:lastPrinted>
  <dcterms:created xsi:type="dcterms:W3CDTF">2024-11-25T20:13:27Z</dcterms:created>
  <dcterms:modified xsi:type="dcterms:W3CDTF">2025-01-15T17:01:40Z</dcterms:modified>
</cp:coreProperties>
</file>