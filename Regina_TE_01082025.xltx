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A054CCC9-F45C-400F-8F83-567BC624D18C}" xr6:coauthVersionLast="47" xr6:coauthVersionMax="47" xr10:uidLastSave="{00000000-0000-0000-0000-000000000000}"/>
  <bookViews>
    <workbookView xWindow="-120" yWindow="-120" windowWidth="29040" windowHeight="15720" tabRatio="476" activeTab="2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J29" i="10" s="1"/>
  <c r="I5" i="10" a="1"/>
  <c r="I5" i="10" s="1"/>
  <c r="I29" i="10" s="1"/>
  <c r="H5" i="10" a="1"/>
  <c r="H5" i="10" s="1"/>
  <c r="H29" i="10" s="1"/>
  <c r="G5" i="10" a="1"/>
  <c r="G5" i="10" s="1"/>
  <c r="G29" i="10" s="1"/>
  <c r="J5" i="9" a="1"/>
  <c r="J5" i="9" s="1"/>
  <c r="J29" i="9" s="1"/>
  <c r="I5" i="9" a="1"/>
  <c r="I5" i="9" s="1"/>
  <c r="I29" i="9" s="1"/>
  <c r="H5" i="9" a="1"/>
  <c r="H5" i="9" s="1"/>
  <c r="H29" i="9" s="1"/>
  <c r="G5" i="9" a="1"/>
  <c r="G5" i="9" s="1"/>
  <c r="G29" i="9" s="1"/>
  <c r="J5" i="4" a="1"/>
  <c r="J5" i="4" s="1"/>
  <c r="J29" i="4" s="1"/>
  <c r="I5" i="4" a="1"/>
  <c r="I5" i="4" s="1"/>
  <c r="I29" i="4" s="1"/>
  <c r="H5" i="4" a="1"/>
  <c r="H5" i="4" s="1"/>
  <c r="H29" i="4" s="1"/>
  <c r="G5" i="4" a="1"/>
  <c r="G5" i="4" s="1"/>
  <c r="G29" i="4" s="1"/>
  <c r="H29" i="8" l="1"/>
  <c r="H28" i="8"/>
  <c r="H27" i="8"/>
  <c r="H26" i="8"/>
  <c r="H25" i="8"/>
  <c r="H24" i="8"/>
  <c r="H23" i="8"/>
  <c r="H29" i="7"/>
  <c r="H28" i="7"/>
  <c r="H27" i="7"/>
  <c r="H26" i="7"/>
  <c r="H25" i="7"/>
  <c r="H24" i="7"/>
  <c r="H23" i="7"/>
  <c r="H29" i="1"/>
  <c r="H28" i="1"/>
  <c r="H27" i="1"/>
  <c r="H26" i="1"/>
  <c r="H25" i="1"/>
  <c r="H24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<sst xmlns="http://schemas.openxmlformats.org/spreadsheetml/2006/main" count="186" uniqueCount="37">
  <si>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</si>
  <si>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</si>
  <si>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</si>
  <si>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</si>
  <si>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</si>
  <si>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</si>
  <si>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</si>
  <si>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</si>
  <si>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</si>
  <si>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</si>
  <si>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</si>
  <si>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</si>
  <si>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</si>
  <si>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</si>
  <si>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</si>
  <si>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</si>
  <si>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</si>
  <si>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</si>
  <si>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</si>
  <si>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Sub-Code</t>
  </si>
  <si>
    <t>T3-GA-SUP</t>
  </si>
  <si>
    <t>T3-PROG-MEET</t>
  </si>
  <si>
    <t>UST-MEET</t>
  </si>
  <si>
    <t>T3-PROG-TRAI</t>
  </si>
  <si>
    <t>T3-UST-TRAI</t>
  </si>
  <si>
    <t>S.N0</t>
  </si>
  <si>
    <t>MCM-GUID</t>
  </si>
  <si>
    <t>MCM-DEGP</t>
  </si>
  <si>
    <t>MC-F2F-ADV</t>
  </si>
  <si>
    <t>MC-VIR-ADV</t>
  </si>
  <si>
    <t>MC-EARLY-INT</t>
  </si>
  <si>
    <t>MC-STUD-FUT</t>
  </si>
  <si>
    <t>MC-STUD-SUP</t>
  </si>
  <si>
    <t>MC-EARLY-FIN</t>
  </si>
  <si>
    <t>MC-STUD-ENG</t>
  </si>
  <si>
    <t>ADM-T3-PREP</t>
  </si>
  <si>
    <t>ADM-UST-PREP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</si>
</sst>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33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openxmlformats.org/officeDocument/2006/relationships/image" Target="../media/image3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173831</xdr:colOff>
      <xdr:row>7</xdr:row>
      <xdr:rowOff>54769</xdr:rowOff>
    </xdr:from>
    <xdr:to>
      <xdr:col>27</xdr:col>
      <xdr:colOff>511970</xdr:colOff>
      <xdr:row>8</xdr:row>
      <xdr:rowOff>125719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8BE12826-0D2F-4D8C-B07F-6859FC5F7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282737" y="138826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207169</xdr:colOff>
      <xdr:row>7</xdr:row>
      <xdr:rowOff>52388</xdr:rowOff>
    </xdr:from>
    <xdr:to>
      <xdr:col>16</xdr:col>
      <xdr:colOff>545308</xdr:colOff>
      <xdr:row>8</xdr:row>
      <xdr:rowOff>123338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80D9618D-0392-40FD-B674-D27345BF9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636669" y="138588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209030</xdr:colOff>
      <xdr:row>7</xdr:row>
      <xdr:rowOff>40340</xdr:rowOff>
    </xdr:from>
    <xdr:to>
      <xdr:col>38</xdr:col>
      <xdr:colOff>547169</xdr:colOff>
      <xdr:row>8</xdr:row>
      <xdr:rowOff>111290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26AEFD51-FF02-4B99-9501-AAA54535E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997343" y="137384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190499</xdr:colOff>
      <xdr:row>7</xdr:row>
      <xdr:rowOff>41996</xdr:rowOff>
    </xdr:from>
    <xdr:to>
      <xdr:col>49</xdr:col>
      <xdr:colOff>528638</xdr:colOff>
      <xdr:row>8</xdr:row>
      <xdr:rowOff>112946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96AFD166-1AC2-4F01-A4CF-82EADEDE9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58218" y="1375496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</xdr:row>
      <xdr:rowOff>109538</xdr:rowOff>
    </xdr:from>
    <xdr:to>
      <xdr:col>5</xdr:col>
      <xdr:colOff>161927</xdr:colOff>
      <xdr:row>11</xdr:row>
      <xdr:rowOff>180488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F0E39C4-55A9-4A63-A6C2-6774AE46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319" y="201453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5</xdr:col>
      <xdr:colOff>297655</xdr:colOff>
      <xdr:row>10</xdr:row>
      <xdr:rowOff>130969</xdr:rowOff>
    </xdr:from>
    <xdr:to>
      <xdr:col>7</xdr:col>
      <xdr:colOff>547686</xdr:colOff>
      <xdr:row>11</xdr:row>
      <xdr:rowOff>89905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AD0FEB0-E658-47D8-953D-9B1019C67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548061" y="203596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116681</xdr:rowOff>
    </xdr:from>
    <xdr:to>
      <xdr:col>19</xdr:col>
      <xdr:colOff>176212</xdr:colOff>
      <xdr:row>8</xdr:row>
      <xdr:rowOff>75617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601A4D1A-3378-4079-947A-CCB7F7B7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5018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104775</xdr:rowOff>
    </xdr:from>
    <xdr:to>
      <xdr:col>19</xdr:col>
      <xdr:colOff>176212</xdr:colOff>
      <xdr:row>8</xdr:row>
      <xdr:rowOff>63711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23D8B34B-625F-463E-8DE3-7E2C4EA06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519112</xdr:colOff>
      <xdr:row>7</xdr:row>
      <xdr:rowOff>114300</xdr:rowOff>
    </xdr:from>
    <xdr:to>
      <xdr:col>30</xdr:col>
      <xdr:colOff>161924</xdr:colOff>
      <xdr:row>8</xdr:row>
      <xdr:rowOff>73236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70A3E18C-76DC-43AD-BE3F-2D9E42479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056893" y="144780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76058</xdr:rowOff>
    </xdr:from>
    <xdr:to>
      <xdr:col>41</xdr:col>
      <xdr:colOff>185218</xdr:colOff>
      <xdr:row>8</xdr:row>
      <xdr:rowOff>34994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165EF88B-5AB8-45AD-B4AD-31C04803D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759593" y="1409558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49</xdr:col>
      <xdr:colOff>563837</xdr:colOff>
      <xdr:row>7</xdr:row>
      <xdr:rowOff>85583</xdr:rowOff>
    </xdr:from>
    <xdr:to>
      <xdr:col>52</xdr:col>
      <xdr:colOff>206650</xdr:colOff>
      <xdr:row>8</xdr:row>
      <xdr:rowOff>44519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809CAE9E-4E03-4524-BFF7-D7AE033E7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0460431" y="1419083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10</xdr:row>
      <xdr:rowOff>119064</xdr:rowOff>
    </xdr:from>
    <xdr:to>
      <xdr:col>5</xdr:col>
      <xdr:colOff>83344</xdr:colOff>
      <xdr:row>11</xdr:row>
      <xdr:rowOff>156556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DDEDDAD-3D48-4615-B870-93C0D2B36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54845" y="2024064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12</xdr:col>
      <xdr:colOff>211933</xdr:colOff>
      <xdr:row>7</xdr:row>
      <xdr:rowOff>80964</xdr:rowOff>
    </xdr:from>
    <xdr:to>
      <xdr:col>16</xdr:col>
      <xdr:colOff>461963</xdr:colOff>
      <xdr:row>8</xdr:row>
      <xdr:rowOff>118456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285FCE3C-E8EE-40EF-937B-7A09FECE8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41433" y="1414464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23</xdr:col>
      <xdr:colOff>209552</xdr:colOff>
      <xdr:row>7</xdr:row>
      <xdr:rowOff>90489</xdr:rowOff>
    </xdr:from>
    <xdr:to>
      <xdr:col>27</xdr:col>
      <xdr:colOff>459582</xdr:colOff>
      <xdr:row>8</xdr:row>
      <xdr:rowOff>127981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E6F67F30-10B7-42E3-99AD-1D86EF571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318458" y="1423989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34</xdr:col>
      <xdr:colOff>207170</xdr:colOff>
      <xdr:row>7</xdr:row>
      <xdr:rowOff>40482</xdr:rowOff>
    </xdr:from>
    <xdr:to>
      <xdr:col>38</xdr:col>
      <xdr:colOff>457200</xdr:colOff>
      <xdr:row>8</xdr:row>
      <xdr:rowOff>77974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91D6E34A-2D9E-45EC-959B-2399A066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995483" y="1373982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45</xdr:col>
      <xdr:colOff>216695</xdr:colOff>
      <xdr:row>7</xdr:row>
      <xdr:rowOff>61913</xdr:rowOff>
    </xdr:from>
    <xdr:to>
      <xdr:col>49</xdr:col>
      <xdr:colOff>466725</xdr:colOff>
      <xdr:row>8</xdr:row>
      <xdr:rowOff>99405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114DC523-2DE0-4CC1-887F-4DD3854FE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684414" y="1395413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49</xdr:col>
      <xdr:colOff>547686</xdr:colOff>
      <xdr:row>7</xdr:row>
      <xdr:rowOff>83344</xdr:rowOff>
    </xdr:from>
    <xdr:to>
      <xdr:col>52</xdr:col>
      <xdr:colOff>152989</xdr:colOff>
      <xdr:row>8</xdr:row>
      <xdr:rowOff>95250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A163BF-36C5-48D9-B8D2-4D429AFBE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444280" y="1416844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38</xdr:col>
      <xdr:colOff>533398</xdr:colOff>
      <xdr:row>7</xdr:row>
      <xdr:rowOff>80963</xdr:rowOff>
    </xdr:from>
    <xdr:to>
      <xdr:col>41</xdr:col>
      <xdr:colOff>138701</xdr:colOff>
      <xdr:row>8</xdr:row>
      <xdr:rowOff>92869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9BF91DB0-020A-455A-8083-C17D546EE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750586" y="1414463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519111</xdr:colOff>
      <xdr:row>7</xdr:row>
      <xdr:rowOff>114300</xdr:rowOff>
    </xdr:from>
    <xdr:to>
      <xdr:col>30</xdr:col>
      <xdr:colOff>124413</xdr:colOff>
      <xdr:row>8</xdr:row>
      <xdr:rowOff>126206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76D2CDBD-5085-4DCF-BE6A-075C9FF8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056892" y="1447800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16</xdr:col>
      <xdr:colOff>552449</xdr:colOff>
      <xdr:row>7</xdr:row>
      <xdr:rowOff>123825</xdr:rowOff>
    </xdr:from>
    <xdr:to>
      <xdr:col>19</xdr:col>
      <xdr:colOff>157752</xdr:colOff>
      <xdr:row>8</xdr:row>
      <xdr:rowOff>135731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01126608-626A-449B-9CDC-F96F35B33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410824" y="1457325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5</xdr:col>
      <xdr:colOff>323171</xdr:colOff>
      <xdr:row>10</xdr:row>
      <xdr:rowOff>149223</xdr:rowOff>
    </xdr:from>
    <xdr:to>
      <xdr:col>7</xdr:col>
      <xdr:colOff>535692</xdr:colOff>
      <xdr:row>11</xdr:row>
      <xdr:rowOff>161129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9EC21B35-5028-457E-8637-818E04821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73577" y="2054223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4</xdr:col>
      <xdr:colOff>180295</xdr:colOff>
      <xdr:row>14</xdr:row>
      <xdr:rowOff>89691</xdr:rowOff>
    </xdr:from>
    <xdr:to>
      <xdr:col>5</xdr:col>
      <xdr:colOff>160066</xdr:colOff>
      <xdr:row>15</xdr:row>
      <xdr:rowOff>83344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CAA8D77-B417-4EFC-B342-37811F79F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823483" y="2768597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8</xdr:col>
      <xdr:colOff>582726</xdr:colOff>
      <xdr:row>14</xdr:row>
      <xdr:rowOff>99216</xdr:rowOff>
    </xdr:from>
    <xdr:to>
      <xdr:col>10</xdr:col>
      <xdr:colOff>26715</xdr:colOff>
      <xdr:row>15</xdr:row>
      <xdr:rowOff>92869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E7C4B71F-7C2D-4DC6-BE3F-5717DDB54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654789" y="2778122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1</xdr:col>
      <xdr:colOff>464343</xdr:colOff>
      <xdr:row>12</xdr:row>
      <xdr:rowOff>130968</xdr:rowOff>
    </xdr:from>
    <xdr:to>
      <xdr:col>3</xdr:col>
      <xdr:colOff>271616</xdr:colOff>
      <xdr:row>13</xdr:row>
      <xdr:rowOff>100036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0C6AA50-EED6-49CA-90EA-D4CA43ACF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71562" y="2416968"/>
          <a:ext cx="1105054" cy="171474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404811</xdr:colOff>
      <xdr:row>12</xdr:row>
      <xdr:rowOff>107154</xdr:rowOff>
    </xdr:from>
    <xdr:to>
      <xdr:col>3</xdr:col>
      <xdr:colOff>674901</xdr:colOff>
      <xdr:row>13</xdr:row>
      <xdr:rowOff>119061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DED285F-E46D-4CFB-85F9-16CF55C14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2030" y="2393154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12</xdr:col>
      <xdr:colOff>586719</xdr:colOff>
      <xdr:row>9</xdr:row>
      <xdr:rowOff>61876</xdr:rowOff>
    </xdr:from>
    <xdr:to>
      <xdr:col>15</xdr:col>
      <xdr:colOff>332934</xdr:colOff>
      <xdr:row>10</xdr:row>
      <xdr:rowOff>85689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5079E187-E8A9-4AA3-891F-8E4B07A88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016219" y="1776376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23</xdr:col>
      <xdr:colOff>590344</xdr:colOff>
      <xdr:row>9</xdr:row>
      <xdr:rowOff>41686</xdr:rowOff>
    </xdr:from>
    <xdr:to>
      <xdr:col>26</xdr:col>
      <xdr:colOff>336558</xdr:colOff>
      <xdr:row>10</xdr:row>
      <xdr:rowOff>65499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A509FE28-4A67-4F06-A28F-CDE07197E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699250" y="1756186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34</xdr:col>
      <xdr:colOff>590030</xdr:colOff>
      <xdr:row>9</xdr:row>
      <xdr:rowOff>40339</xdr:rowOff>
    </xdr:from>
    <xdr:to>
      <xdr:col>37</xdr:col>
      <xdr:colOff>336245</xdr:colOff>
      <xdr:row>10</xdr:row>
      <xdr:rowOff>64152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A4DE13B1-A438-4678-8C49-AD9244ACA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378343" y="1754839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45</xdr:col>
      <xdr:colOff>599556</xdr:colOff>
      <xdr:row>9</xdr:row>
      <xdr:rowOff>37958</xdr:rowOff>
    </xdr:from>
    <xdr:to>
      <xdr:col>48</xdr:col>
      <xdr:colOff>345771</xdr:colOff>
      <xdr:row>10</xdr:row>
      <xdr:rowOff>61771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ADF37191-E4F6-4F8E-9817-00430D47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8067275" y="1752458"/>
          <a:ext cx="1567871" cy="214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309563</xdr:colOff>
      <xdr:row>10</xdr:row>
      <xdr:rowOff>119062</xdr:rowOff>
    </xdr:from>
    <xdr:to>
      <xdr:col>7</xdr:col>
      <xdr:colOff>559594</xdr:colOff>
      <xdr:row>11</xdr:row>
      <xdr:rowOff>77998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FBDEAA07-1A66-4247-B2EB-D2020A4E9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59969" y="2024062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557213</xdr:colOff>
      <xdr:row>7</xdr:row>
      <xdr:rowOff>128587</xdr:rowOff>
    </xdr:from>
    <xdr:to>
      <xdr:col>19</xdr:col>
      <xdr:colOff>200026</xdr:colOff>
      <xdr:row>8</xdr:row>
      <xdr:rowOff>87523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3A0F491D-567E-404F-A68E-E5DF3D31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15588" y="146208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519113</xdr:colOff>
      <xdr:row>7</xdr:row>
      <xdr:rowOff>114299</xdr:rowOff>
    </xdr:from>
    <xdr:to>
      <xdr:col>30</xdr:col>
      <xdr:colOff>161925</xdr:colOff>
      <xdr:row>8</xdr:row>
      <xdr:rowOff>73235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DA9AF5B3-7CC2-4FB9-B3FC-892EE456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6894" y="144779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552450</xdr:colOff>
      <xdr:row>7</xdr:row>
      <xdr:rowOff>88105</xdr:rowOff>
    </xdr:from>
    <xdr:to>
      <xdr:col>41</xdr:col>
      <xdr:colOff>195263</xdr:colOff>
      <xdr:row>8</xdr:row>
      <xdr:rowOff>47041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2B56EA5F-5409-43C8-9022-61DD4D9C6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69638" y="142160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50</xdr:col>
      <xdr:colOff>2381</xdr:colOff>
      <xdr:row>7</xdr:row>
      <xdr:rowOff>97630</xdr:rowOff>
    </xdr:from>
    <xdr:to>
      <xdr:col>52</xdr:col>
      <xdr:colOff>252413</xdr:colOff>
      <xdr:row>8</xdr:row>
      <xdr:rowOff>56566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BF6D338A-CBD5-441B-B383-F2D87F17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506194" y="143113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45</xdr:col>
      <xdr:colOff>111260</xdr:colOff>
      <xdr:row>7</xdr:row>
      <xdr:rowOff>67933</xdr:rowOff>
    </xdr:from>
    <xdr:to>
      <xdr:col>49</xdr:col>
      <xdr:colOff>449399</xdr:colOff>
      <xdr:row>8</xdr:row>
      <xdr:rowOff>138883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2FF3D688-C05C-4FBF-B051-0DB432967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578979" y="1401433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192222</xdr:colOff>
      <xdr:row>7</xdr:row>
      <xdr:rowOff>41739</xdr:rowOff>
    </xdr:from>
    <xdr:to>
      <xdr:col>38</xdr:col>
      <xdr:colOff>530361</xdr:colOff>
      <xdr:row>8</xdr:row>
      <xdr:rowOff>112689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CD8D26F1-614E-4ABF-96FD-4A67EFDC0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980535" y="137523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149812</xdr:colOff>
      <xdr:row>7</xdr:row>
      <xdr:rowOff>65497</xdr:rowOff>
    </xdr:from>
    <xdr:to>
      <xdr:col>27</xdr:col>
      <xdr:colOff>487951</xdr:colOff>
      <xdr:row>8</xdr:row>
      <xdr:rowOff>136447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BECC6D50-BC87-4DC3-BF94-49F211A4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258718" y="139899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205719</xdr:colOff>
      <xdr:row>7</xdr:row>
      <xdr:rowOff>73782</xdr:rowOff>
    </xdr:from>
    <xdr:to>
      <xdr:col>16</xdr:col>
      <xdr:colOff>543858</xdr:colOff>
      <xdr:row>8</xdr:row>
      <xdr:rowOff>144732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355BA54D-4D07-4FCB-BEEA-CA68EC06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35219" y="140728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25514</xdr:colOff>
      <xdr:row>10</xdr:row>
      <xdr:rowOff>125411</xdr:rowOff>
    </xdr:from>
    <xdr:to>
      <xdr:col>5</xdr:col>
      <xdr:colOff>149341</xdr:colOff>
      <xdr:row>12</xdr:row>
      <xdr:rowOff>5861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4BB8C3E7-4290-4AFA-8E7F-0FE0DB5AA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32733" y="203041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8</xdr:col>
      <xdr:colOff>595312</xdr:colOff>
      <xdr:row>14</xdr:row>
      <xdr:rowOff>107156</xdr:rowOff>
    </xdr:from>
    <xdr:to>
      <xdr:col>10</xdr:col>
      <xdr:colOff>39301</xdr:colOff>
      <xdr:row>15</xdr:row>
      <xdr:rowOff>100809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B32BE4C8-8020-43EE-980F-F4A53F54B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667375" y="2786062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4</xdr:col>
      <xdr:colOff>176212</xdr:colOff>
      <xdr:row>14</xdr:row>
      <xdr:rowOff>104775</xdr:rowOff>
    </xdr:from>
    <xdr:to>
      <xdr:col>5</xdr:col>
      <xdr:colOff>155983</xdr:colOff>
      <xdr:row>15</xdr:row>
      <xdr:rowOff>98428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196CB430-5FC5-4D73-8963-6CA92C235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819400" y="2783681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1</xdr:col>
      <xdr:colOff>416719</xdr:colOff>
      <xdr:row>12</xdr:row>
      <xdr:rowOff>107156</xdr:rowOff>
    </xdr:from>
    <xdr:to>
      <xdr:col>3</xdr:col>
      <xdr:colOff>686809</xdr:colOff>
      <xdr:row>13</xdr:row>
      <xdr:rowOff>119063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EA6B67A5-B444-4353-94AB-E4EE2B308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23938" y="2393156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1</xdr:col>
      <xdr:colOff>25514</xdr:colOff>
      <xdr:row>10</xdr:row>
      <xdr:rowOff>125411</xdr:rowOff>
    </xdr:from>
    <xdr:to>
      <xdr:col>5</xdr:col>
      <xdr:colOff>61232</xdr:colOff>
      <xdr:row>11</xdr:row>
      <xdr:rowOff>162903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F17F1F85-A14E-4173-9A2F-2FB87DDFC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32733" y="2030411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12</xdr:col>
      <xdr:colOff>205719</xdr:colOff>
      <xdr:row>7</xdr:row>
      <xdr:rowOff>73782</xdr:rowOff>
    </xdr:from>
    <xdr:to>
      <xdr:col>16</xdr:col>
      <xdr:colOff>455749</xdr:colOff>
      <xdr:row>8</xdr:row>
      <xdr:rowOff>111274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F3E88126-B061-4079-B441-6A2B321C2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635219" y="1407282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23</xdr:col>
      <xdr:colOff>149812</xdr:colOff>
      <xdr:row>7</xdr:row>
      <xdr:rowOff>65497</xdr:rowOff>
    </xdr:from>
    <xdr:to>
      <xdr:col>27</xdr:col>
      <xdr:colOff>399842</xdr:colOff>
      <xdr:row>8</xdr:row>
      <xdr:rowOff>102989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3120F552-27F9-4CD8-9D30-FB42F76E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258718" y="1398997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34</xdr:col>
      <xdr:colOff>192222</xdr:colOff>
      <xdr:row>7</xdr:row>
      <xdr:rowOff>41739</xdr:rowOff>
    </xdr:from>
    <xdr:to>
      <xdr:col>38</xdr:col>
      <xdr:colOff>442252</xdr:colOff>
      <xdr:row>8</xdr:row>
      <xdr:rowOff>79231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B5B0C057-1B39-4378-B869-5FD3E0DC8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980535" y="1375239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45</xdr:col>
      <xdr:colOff>111260</xdr:colOff>
      <xdr:row>7</xdr:row>
      <xdr:rowOff>67933</xdr:rowOff>
    </xdr:from>
    <xdr:to>
      <xdr:col>49</xdr:col>
      <xdr:colOff>361290</xdr:colOff>
      <xdr:row>8</xdr:row>
      <xdr:rowOff>105425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858F3F8A-C0BC-4131-AFC7-447ADD9CB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7578979" y="1401433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309563</xdr:colOff>
      <xdr:row>10</xdr:row>
      <xdr:rowOff>119062</xdr:rowOff>
    </xdr:from>
    <xdr:to>
      <xdr:col>7</xdr:col>
      <xdr:colOff>522084</xdr:colOff>
      <xdr:row>11</xdr:row>
      <xdr:rowOff>130968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12D52F5F-003C-4411-A89F-E8C06DC86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559969" y="2024062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16</xdr:col>
      <xdr:colOff>557213</xdr:colOff>
      <xdr:row>7</xdr:row>
      <xdr:rowOff>128587</xdr:rowOff>
    </xdr:from>
    <xdr:to>
      <xdr:col>19</xdr:col>
      <xdr:colOff>162516</xdr:colOff>
      <xdr:row>8</xdr:row>
      <xdr:rowOff>140493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022FB3E6-7C00-4D52-9E11-BB6E1A54D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415588" y="1462087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519113</xdr:colOff>
      <xdr:row>7</xdr:row>
      <xdr:rowOff>114299</xdr:rowOff>
    </xdr:from>
    <xdr:to>
      <xdr:col>30</xdr:col>
      <xdr:colOff>124415</xdr:colOff>
      <xdr:row>8</xdr:row>
      <xdr:rowOff>126205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1A018346-7235-4E86-8D16-8681EFC7A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56894" y="1447799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50</xdr:col>
      <xdr:colOff>2381</xdr:colOff>
      <xdr:row>7</xdr:row>
      <xdr:rowOff>97630</xdr:rowOff>
    </xdr:from>
    <xdr:to>
      <xdr:col>52</xdr:col>
      <xdr:colOff>214903</xdr:colOff>
      <xdr:row>8</xdr:row>
      <xdr:rowOff>109536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20FA0BA-CA6B-4295-9A0A-3F1396A62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0506194" y="1431130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38</xdr:col>
      <xdr:colOff>552450</xdr:colOff>
      <xdr:row>7</xdr:row>
      <xdr:rowOff>88105</xdr:rowOff>
    </xdr:from>
    <xdr:to>
      <xdr:col>41</xdr:col>
      <xdr:colOff>157753</xdr:colOff>
      <xdr:row>8</xdr:row>
      <xdr:rowOff>100011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43708FA7-A505-45AA-8BA0-34C3E7D52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3769638" y="1421605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12</xdr:col>
      <xdr:colOff>598626</xdr:colOff>
      <xdr:row>9</xdr:row>
      <xdr:rowOff>61875</xdr:rowOff>
    </xdr:from>
    <xdr:to>
      <xdr:col>15</xdr:col>
      <xdr:colOff>344841</xdr:colOff>
      <xdr:row>10</xdr:row>
      <xdr:rowOff>85688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B96E4CF1-EE71-4985-ABD7-661EFAA19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028126" y="1776375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23</xdr:col>
      <xdr:colOff>584339</xdr:colOff>
      <xdr:row>9</xdr:row>
      <xdr:rowOff>59494</xdr:rowOff>
    </xdr:from>
    <xdr:to>
      <xdr:col>26</xdr:col>
      <xdr:colOff>330553</xdr:colOff>
      <xdr:row>10</xdr:row>
      <xdr:rowOff>83307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6CA22523-770F-4671-99B1-39297C4AD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693245" y="1773994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34</xdr:col>
      <xdr:colOff>605769</xdr:colOff>
      <xdr:row>9</xdr:row>
      <xdr:rowOff>33301</xdr:rowOff>
    </xdr:from>
    <xdr:to>
      <xdr:col>37</xdr:col>
      <xdr:colOff>351984</xdr:colOff>
      <xdr:row>10</xdr:row>
      <xdr:rowOff>57114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93D896B-AC18-400D-9537-F2619153F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1394082" y="1747801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45</xdr:col>
      <xdr:colOff>496231</xdr:colOff>
      <xdr:row>9</xdr:row>
      <xdr:rowOff>54732</xdr:rowOff>
    </xdr:from>
    <xdr:to>
      <xdr:col>48</xdr:col>
      <xdr:colOff>242446</xdr:colOff>
      <xdr:row>10</xdr:row>
      <xdr:rowOff>78545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79E061D-4108-4087-B94D-E1B7909CD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7963950" y="1769232"/>
          <a:ext cx="1567871" cy="214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107157</xdr:rowOff>
    </xdr:from>
    <xdr:to>
      <xdr:col>5</xdr:col>
      <xdr:colOff>123827</xdr:colOff>
      <xdr:row>11</xdr:row>
      <xdr:rowOff>178107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70FAC097-5C12-483E-8921-3AA85F344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7219" y="201215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229531</xdr:colOff>
      <xdr:row>7</xdr:row>
      <xdr:rowOff>73781</xdr:rowOff>
    </xdr:from>
    <xdr:to>
      <xdr:col>16</xdr:col>
      <xdr:colOff>567670</xdr:colOff>
      <xdr:row>8</xdr:row>
      <xdr:rowOff>144731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4C5FA9D6-9E52-4C1C-ADDF-9C7794A1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9031" y="140728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185531</xdr:colOff>
      <xdr:row>7</xdr:row>
      <xdr:rowOff>65498</xdr:rowOff>
    </xdr:from>
    <xdr:to>
      <xdr:col>27</xdr:col>
      <xdr:colOff>523670</xdr:colOff>
      <xdr:row>8</xdr:row>
      <xdr:rowOff>136448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7D244C0C-3A72-454A-A834-CFC2F15B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94437" y="139899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185217</xdr:colOff>
      <xdr:row>7</xdr:row>
      <xdr:rowOff>64152</xdr:rowOff>
    </xdr:from>
    <xdr:to>
      <xdr:col>38</xdr:col>
      <xdr:colOff>523356</xdr:colOff>
      <xdr:row>8</xdr:row>
      <xdr:rowOff>135102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A041C0A5-A7C5-457F-BC12-3559CD13E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973530" y="139765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154781</xdr:colOff>
      <xdr:row>7</xdr:row>
      <xdr:rowOff>30090</xdr:rowOff>
    </xdr:from>
    <xdr:to>
      <xdr:col>49</xdr:col>
      <xdr:colOff>492920</xdr:colOff>
      <xdr:row>8</xdr:row>
      <xdr:rowOff>101040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2D64287-AA56-4BFB-B6CA-B8F73008D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22500" y="136359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49</xdr:col>
      <xdr:colOff>535781</xdr:colOff>
      <xdr:row>7</xdr:row>
      <xdr:rowOff>65809</xdr:rowOff>
    </xdr:from>
    <xdr:to>
      <xdr:col>52</xdr:col>
      <xdr:colOff>178594</xdr:colOff>
      <xdr:row>8</xdr:row>
      <xdr:rowOff>24745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AA602314-15F2-419C-B214-7A9539355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432375" y="139930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111777</xdr:rowOff>
    </xdr:from>
    <xdr:to>
      <xdr:col>41</xdr:col>
      <xdr:colOff>185218</xdr:colOff>
      <xdr:row>8</xdr:row>
      <xdr:rowOff>70713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B6CB3B9-8585-42F7-9FFC-568986CFC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59593" y="144527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521495</xdr:colOff>
      <xdr:row>7</xdr:row>
      <xdr:rowOff>104775</xdr:rowOff>
    </xdr:from>
    <xdr:to>
      <xdr:col>30</xdr:col>
      <xdr:colOff>164307</xdr:colOff>
      <xdr:row>8</xdr:row>
      <xdr:rowOff>63711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DB1283C1-1C45-4E8A-866E-85D7F035E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9276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551000</xdr:colOff>
      <xdr:row>7</xdr:row>
      <xdr:rowOff>109501</xdr:rowOff>
    </xdr:from>
    <xdr:to>
      <xdr:col>19</xdr:col>
      <xdr:colOff>193813</xdr:colOff>
      <xdr:row>8</xdr:row>
      <xdr:rowOff>68437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12473AE-62FD-4CF9-9A3A-309D0C8C6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09375" y="144300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299358</xdr:colOff>
      <xdr:row>10</xdr:row>
      <xdr:rowOff>137317</xdr:rowOff>
    </xdr:from>
    <xdr:to>
      <xdr:col>7</xdr:col>
      <xdr:colOff>549389</xdr:colOff>
      <xdr:row>11</xdr:row>
      <xdr:rowOff>96253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82264C6F-226F-4364-A035-C3BCCEFCF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49764" y="204231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8</xdr:col>
      <xdr:colOff>597013</xdr:colOff>
      <xdr:row>14</xdr:row>
      <xdr:rowOff>89692</xdr:rowOff>
    </xdr:from>
    <xdr:to>
      <xdr:col>10</xdr:col>
      <xdr:colOff>41002</xdr:colOff>
      <xdr:row>15</xdr:row>
      <xdr:rowOff>83345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D414A5D5-DE6F-4CB2-A921-6EC132C0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669076" y="2768598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4</xdr:col>
      <xdr:colOff>142194</xdr:colOff>
      <xdr:row>14</xdr:row>
      <xdr:rowOff>99217</xdr:rowOff>
    </xdr:from>
    <xdr:to>
      <xdr:col>5</xdr:col>
      <xdr:colOff>121965</xdr:colOff>
      <xdr:row>15</xdr:row>
      <xdr:rowOff>92870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BC5ABD8D-3F12-41AC-9770-71C53ACBF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85382" y="2778123"/>
          <a:ext cx="586989" cy="1841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107157</xdr:rowOff>
    </xdr:from>
    <xdr:to>
      <xdr:col>5</xdr:col>
      <xdr:colOff>35718</xdr:colOff>
      <xdr:row>11</xdr:row>
      <xdr:rowOff>144649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5F31F51-BDE3-4976-85B7-713A39FC3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07219" y="2012157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12</xdr:col>
      <xdr:colOff>229531</xdr:colOff>
      <xdr:row>7</xdr:row>
      <xdr:rowOff>73781</xdr:rowOff>
    </xdr:from>
    <xdr:to>
      <xdr:col>16</xdr:col>
      <xdr:colOff>479561</xdr:colOff>
      <xdr:row>8</xdr:row>
      <xdr:rowOff>111273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040BEE37-24B5-4005-9B03-CF62A530B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659031" y="1407281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23</xdr:col>
      <xdr:colOff>185531</xdr:colOff>
      <xdr:row>7</xdr:row>
      <xdr:rowOff>65498</xdr:rowOff>
    </xdr:from>
    <xdr:to>
      <xdr:col>27</xdr:col>
      <xdr:colOff>435561</xdr:colOff>
      <xdr:row>8</xdr:row>
      <xdr:rowOff>102990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F646E54C-5C2E-43F6-BC0A-5E3C12B48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294437" y="1398998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34</xdr:col>
      <xdr:colOff>185217</xdr:colOff>
      <xdr:row>7</xdr:row>
      <xdr:rowOff>64152</xdr:rowOff>
    </xdr:from>
    <xdr:to>
      <xdr:col>38</xdr:col>
      <xdr:colOff>435247</xdr:colOff>
      <xdr:row>8</xdr:row>
      <xdr:rowOff>101644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E7453AE3-170E-47D0-8C75-5FBFC92B3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0973530" y="1397652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45</xdr:col>
      <xdr:colOff>154781</xdr:colOff>
      <xdr:row>7</xdr:row>
      <xdr:rowOff>30090</xdr:rowOff>
    </xdr:from>
    <xdr:to>
      <xdr:col>49</xdr:col>
      <xdr:colOff>404811</xdr:colOff>
      <xdr:row>8</xdr:row>
      <xdr:rowOff>67582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214AC22-4B66-4E2E-8C16-B94736425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7622500" y="1363590"/>
          <a:ext cx="2678905" cy="227992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299358</xdr:colOff>
      <xdr:row>10</xdr:row>
      <xdr:rowOff>137317</xdr:rowOff>
    </xdr:from>
    <xdr:to>
      <xdr:col>7</xdr:col>
      <xdr:colOff>511879</xdr:colOff>
      <xdr:row>11</xdr:row>
      <xdr:rowOff>149223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91C5AB52-FE72-4481-ABDE-A391DEC35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549764" y="2042317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16</xdr:col>
      <xdr:colOff>551000</xdr:colOff>
      <xdr:row>7</xdr:row>
      <xdr:rowOff>109501</xdr:rowOff>
    </xdr:from>
    <xdr:to>
      <xdr:col>19</xdr:col>
      <xdr:colOff>156303</xdr:colOff>
      <xdr:row>8</xdr:row>
      <xdr:rowOff>121407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A94A8DD3-E1CA-4B6B-88C0-1CD2762A3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409375" y="1443001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27</xdr:col>
      <xdr:colOff>521495</xdr:colOff>
      <xdr:row>7</xdr:row>
      <xdr:rowOff>104775</xdr:rowOff>
    </xdr:from>
    <xdr:to>
      <xdr:col>30</xdr:col>
      <xdr:colOff>126797</xdr:colOff>
      <xdr:row>8</xdr:row>
      <xdr:rowOff>116681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53E0F5C2-6455-4907-AD7E-C54F5470D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59276" y="1438275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111777</xdr:rowOff>
    </xdr:from>
    <xdr:to>
      <xdr:col>41</xdr:col>
      <xdr:colOff>147708</xdr:colOff>
      <xdr:row>8</xdr:row>
      <xdr:rowOff>123683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B55B192C-173F-4B3A-956C-ACE3B9B3E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3759593" y="1445277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49</xdr:col>
      <xdr:colOff>535781</xdr:colOff>
      <xdr:row>7</xdr:row>
      <xdr:rowOff>65809</xdr:rowOff>
    </xdr:from>
    <xdr:to>
      <xdr:col>52</xdr:col>
      <xdr:colOff>141084</xdr:colOff>
      <xdr:row>8</xdr:row>
      <xdr:rowOff>77715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6A67935A-D5F4-4C18-80A5-0AF5062E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0432375" y="1399309"/>
          <a:ext cx="1426959" cy="202406"/>
        </a:xfrm>
        <a:prstGeom prst="rect">
          <a:avLst/>
        </a:prstGeom>
      </xdr:spPr>
    </xdr:pic>
    <xdr:clientData/>
  </xdr:twoCellAnchor>
  <xdr:twoCellAnchor editAs="oneCell">
    <xdr:from>
      <xdr:col>45</xdr:col>
      <xdr:colOff>595312</xdr:colOff>
      <xdr:row>9</xdr:row>
      <xdr:rowOff>30091</xdr:rowOff>
    </xdr:from>
    <xdr:to>
      <xdr:col>48</xdr:col>
      <xdr:colOff>341527</xdr:colOff>
      <xdr:row>10</xdr:row>
      <xdr:rowOff>53904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E20EA85B-4730-48A2-8727-2B07BB624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8063031" y="1744591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34</xdr:col>
      <xdr:colOff>592930</xdr:colOff>
      <xdr:row>9</xdr:row>
      <xdr:rowOff>39616</xdr:rowOff>
    </xdr:from>
    <xdr:to>
      <xdr:col>37</xdr:col>
      <xdr:colOff>339145</xdr:colOff>
      <xdr:row>10</xdr:row>
      <xdr:rowOff>63429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BDA3AA9C-E8B5-47DC-BB29-F731A950D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381243" y="1754116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23</xdr:col>
      <xdr:colOff>566737</xdr:colOff>
      <xdr:row>9</xdr:row>
      <xdr:rowOff>49141</xdr:rowOff>
    </xdr:from>
    <xdr:to>
      <xdr:col>26</xdr:col>
      <xdr:colOff>312951</xdr:colOff>
      <xdr:row>10</xdr:row>
      <xdr:rowOff>72954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AEB5A883-350D-41B2-87A9-30B1FB19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675643" y="1763641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12</xdr:col>
      <xdr:colOff>600074</xdr:colOff>
      <xdr:row>9</xdr:row>
      <xdr:rowOff>58666</xdr:rowOff>
    </xdr:from>
    <xdr:to>
      <xdr:col>15</xdr:col>
      <xdr:colOff>346289</xdr:colOff>
      <xdr:row>10</xdr:row>
      <xdr:rowOff>82479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FA2C6F96-0EDC-457F-B2C4-56BAB65AE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029574" y="1773166"/>
          <a:ext cx="1567871" cy="214313"/>
        </a:xfrm>
        <a:prstGeom prst="rect">
          <a:avLst/>
        </a:prstGeom>
      </xdr:spPr>
    </xdr:pic>
    <xdr:clientData/>
  </xdr:twoCellAnchor>
  <xdr:twoCellAnchor editAs="oneCell">
    <xdr:from>
      <xdr:col>1</xdr:col>
      <xdr:colOff>407193</xdr:colOff>
      <xdr:row>12</xdr:row>
      <xdr:rowOff>103910</xdr:rowOff>
    </xdr:from>
    <xdr:to>
      <xdr:col>3</xdr:col>
      <xdr:colOff>677283</xdr:colOff>
      <xdr:row>13</xdr:row>
      <xdr:rowOff>115817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A96FBE1A-1B80-44FC-BE96-A5B71FAD4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4412" y="2389910"/>
          <a:ext cx="1567871" cy="214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26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>
        <v>1</v>
      </c>
      <c r="Q16" s="21"/>
      <c r="R16" s="22"/>
      <c r="S16" s="22"/>
      <c r="T16" s="22"/>
      <c r="U16" s="22"/>
      <c r="V16" s="1"/>
      <c r="W16" s="1"/>
      <c r="X16" s="15">
        <v>1</v>
      </c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 t="s">
        <v>32</v>
      </c>
      <c r="Z17" s="20"/>
      <c r="AA17" s="17">
        <v>2</v>
      </c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table_1'!G5:J13)</f>
        <v>3</v>
      </c>
      <c r="I24" s="11">
        <f ca="1">H24/$I$18</f>
        <v>1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table_1'!G28:J28)</f>
        <v>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G1YSRrqPijqHBvOg1cKhIbNCdoUMLeTqGG8CrsKx3BwjJGtjbL6FHwmaEMEVYrttPWmUdpXD8B0aYlQWP5AB3A==" saltValue="K1ny62TDKGlrmSvMvMv+Ww==" spinCount="100000" sheet="1" objects="1" scenarios="1" selectLockedCells="1"/>
  <mergeCells count="307"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table_1'!$F$5:$F$28</xm:f>
          </x14:formula1>
          <xm:sqref>AU14:AV50 N14:O50 Y14:Z51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SUMIF('January 2025'!N14:P50,'Mapping table_1'!F5:F28,'January 2025'!P14:P50)</f>
        <v>1</v>
      </c>
      <c r="H5" s="2" cm="1">
        <f t="array" aca="1" ref="H5:H28" ca="1">SUMIF('January 2025'!Y14:AA50,'Mapping table_1'!F5:F28,'January 2025'!AA14:AA50)</f>
        <v>0</v>
      </c>
      <c r="I5" s="2" cm="1">
        <f t="array" aca="1" ref="I5:I28" ca="1">SUMIF('January 2025'!AJ14:AL50,'Mapping table_1'!F5:F28,'January 2025'!AL14:AL50)</f>
        <v>0</v>
      </c>
      <c r="J5" s="2" cm="1">
        <f t="array" aca="1" ref="J5:J28" ca="1">SUMIF('January 2025'!AU14:AW50,'Mapping table_1'!F5:F28,'January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2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1</v>
      </c>
      <c r="H28" s="2">
        <f ca="1"/>
        <v>0</v>
      </c>
      <c r="I28" s="2">
        <f ca="1"/>
        <v>0</v>
      </c>
      <c r="J28" s="2">
        <f ca="1"/>
        <v>0</v>
      </c>
    </row>
    <row r="29" spans="4:10" x14ac:dyDescent="0.25">
      <c r="G29">
        <f ca="1">SUM(_xlfn.ANCHORARRAY(G5))</f>
        <v>2</v>
      </c>
      <c r="H29">
        <f t="shared" ref="H29:J29" ca="1" si="0">SUM(_xlfn.ANCHORARRAY(H5))</f>
        <v>2</v>
      </c>
      <c r="I29">
        <f t="shared" ca="1" si="0"/>
        <v>0</v>
      </c>
      <c r="J29">
        <f t="shared" ca="1" si="0"/>
        <v>0</v>
      </c>
    </row>
  </sheetData>
  <sheetProtection algorithmName="SHA-512" hashValue="2W8h+BCqLtK1bRN9QWdpj2vuiOrj5+t2I/yS/IF3dXuCpdZvsM4QBGda5jdmk+KBSZFbl4RNF8ukQONTIZ1Swg==" saltValue="CtVlZvutRETZn1HvrsvaRw==" spinCount="100000" sheet="1" objects="1" scenarios="1" selectLockedCells="1"/>
  <mergeCells count="1">
    <mergeCell ref="E3:J3"/>
  </mergeCells>
  <conditionalFormatting sqref="F5:F28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tabSelected="1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20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4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 t="s">
        <v>4</v>
      </c>
      <c r="Z19" s="20"/>
      <c r="AA19" s="17">
        <v>4</v>
      </c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 t="s">
        <v>27</v>
      </c>
      <c r="AV20" s="20"/>
      <c r="AW20" s="17">
        <v>4</v>
      </c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 t="s">
        <v>4</v>
      </c>
      <c r="AV21" s="20"/>
      <c r="AW21" s="17">
        <v>4</v>
      </c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table_2'!G5:J13)</f>
        <v>4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table_2'!G28:J28)</f>
        <v>18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fU5WekvX8Wz7fGBJtfSu5oaYP1dNjjX/vWMKYv7Q/V7jmGOsKVkkxaKBY7CWAUeQEtbQeqvqKH52RsebJj23yw==" saltValue="OwuS31aYPOC3SO/bZx8ktQ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table_1'!$F$5:$F$28</xm:f>
          </x14:formula1>
          <xm:sqref>AU14:AV50 AJ14:AK50 Y14:Z50</xm:sqref>
        </x14:dataValidation>
        <x14:dataValidation type="list" allowBlank="1" showInputMessage="1" showErrorMessage="1" xr:uid="{E304C30A-A9AE-442C-BA95-E062F791BB2F}">
          <x14:formula1>
            <xm:f>'Mapping table_2'!$F$5:$F$28</xm:f>
          </x14:formula1>
          <xm:sqref>N14:O50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SUMIF('February 2025'!N14:P50,'Mapping table_2'!F5:F28,'February 2025'!P14:P50)</f>
        <v>0</v>
      </c>
      <c r="H5" s="2" cm="1">
        <f t="array" aca="1" ref="H5:H28" ca="1">SUMIF('February 2025'!Y14:AA50,'Mapping table_2'!F5:F28,'February 2025'!AA14:AA50)</f>
        <v>0</v>
      </c>
      <c r="I5" s="2" cm="1">
        <f t="array" aca="1" ref="I5:I28" ca="1">SUMIF('February 2025'!AJ14:AL50,'Mapping table_2'!F5:F28,'February 2025'!AL14:AL50)</f>
        <v>0</v>
      </c>
      <c r="J5" s="2" cm="1">
        <f t="array" aca="1" ref="J5:J28" ca="1">SUMIF('February 2025'!AU14:AW50,'Mapping table_2'!F5:F28,'February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4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6</v>
      </c>
      <c r="H28" s="2">
        <f ca="1"/>
        <v>6</v>
      </c>
      <c r="I28" s="2">
        <f ca="1"/>
        <v>2</v>
      </c>
      <c r="J28" s="2">
        <f ca="1"/>
        <v>4</v>
      </c>
    </row>
    <row r="29" spans="4:10" x14ac:dyDescent="0.25">
      <c r="G29">
        <f ca="1">SUM(_xlfn.ANCHORARRAY(G5))</f>
        <v>6</v>
      </c>
      <c r="H29">
        <f t="shared" ref="H29:J29" ca="1" si="0">SUM(_xlfn.ANCHORARRAY(H5))</f>
        <v>6</v>
      </c>
      <c r="I29">
        <f t="shared" ca="1" si="0"/>
        <v>2</v>
      </c>
      <c r="J29">
        <f t="shared" ca="1" si="0"/>
        <v>8</v>
      </c>
    </row>
  </sheetData>
  <sheetProtection algorithmName="SHA-512" hashValue="OGner+JrSXDh4WGZuLWMcNE/0ppkxV9B8O+YVVJwvvr5Li6SMkY33LP0hethPf2FajbUCTLatjSaZBZjgZBOSw==" saltValue="uI837e1ncjrBpBCwKP1FyA==" spinCount="100000" sheet="1" objects="1" scenarios="1" selectLockedCells="1"/>
  <mergeCells count="1">
    <mergeCell ref="E3:J3"/>
  </mergeCells>
  <conditionalFormatting sqref="F5:F28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Q14" sqref="Q14:U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22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table_3'!G14:J20)</f>
        <v>3</v>
      </c>
      <c r="I23" s="9">
        <f ca="1">H23/$I$18</f>
        <v>1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table_3'!G5:J13)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table_3'!G26:J26)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table_3'!G28:J28)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dC2QHQvnciXbTr5Lsb0+EBUoxVtbCwWYrdrNjzU2FGgjvCzSuIuaxncer9IHko3PE2VVi6DvkVE4i9wvputfRg==" saltValue="Mr/pHmSh+lyKfHhN4suS6w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908F8A-2E1E-4DEA-98A0-36216A314C65}">
          <x14:formula1>
            <xm:f>'Mapping table_3'!$F$5:$F$28</xm:f>
          </x14:formula1>
          <xm:sqref>AU14:AV50 N14:O50 Y14:Z50 AJ14:AK50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SUMIF('March 2025'!N14:P50,'Mapping table_3'!F5:F28,'March 2025'!P14:P50)</f>
        <v>0</v>
      </c>
      <c r="H5" s="2" cm="1">
        <f t="array" aca="1" ref="H5:H28" ca="1">SUMIF('March 2025'!Y14:AA50,'Mapping table_3'!F5:F28,'March 2025'!AA14:AA50)</f>
        <v>0</v>
      </c>
      <c r="I5" s="2" cm="1">
        <f t="array" aca="1" ref="I5:I28" ca="1">SUMIF('March 2025'!AJ14:AL50,'Mapping table_3'!F5:F28,'March 2025'!AL14:AL50)</f>
        <v>0</v>
      </c>
      <c r="J5" s="2" cm="1">
        <f t="array" aca="1" ref="J5:J28" ca="1">SUMIF('March 2025'!AU14:AW50,'Mapping table_3'!F5:F28,'March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3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7</v>
      </c>
      <c r="H28" s="2">
        <f ca="1"/>
        <v>2</v>
      </c>
      <c r="I28" s="2">
        <f ca="1"/>
        <v>2</v>
      </c>
      <c r="J28" s="2">
        <f ca="1"/>
        <v>0</v>
      </c>
    </row>
    <row r="29" spans="4:10" x14ac:dyDescent="0.25">
      <c r="G29">
        <f ca="1">SUM(_xlfn.ANCHORARRAY(G5))</f>
        <v>10</v>
      </c>
      <c r="H29">
        <f t="shared" ref="H29:J29" ca="1" si="0">SUM(_xlfn.ANCHORARRAY(H5))</f>
        <v>2</v>
      </c>
      <c r="I29">
        <f t="shared" ca="1" si="0"/>
        <v>2</v>
      </c>
      <c r="J29">
        <f t="shared" ca="1" si="0"/>
        <v>0</v>
      </c>
    </row>
  </sheetData>
  <sheetProtection algorithmName="SHA-512" hashValue="hBlk6VCSSLMpWbXT/tLYP/VZsURuMETefBHvh0YfewK+5bxjI7G0udFlzw+g03oq/Qp2PKnbsVPdWroWC1EW+Q==" saltValue="N/Vy7WUq0mnRpSr/zaQSIA==" spinCount="100000" sheet="1" objects="1" scenarios="1" selectLockedCells="1"/>
  <mergeCells count="1">
    <mergeCell ref="E3:J3"/>
  </mergeCells>
  <conditionalFormatting sqref="F5:F2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2025-01-15T18:34:28Z</dcterms:modified>
</cp:coreProperties>
</file>