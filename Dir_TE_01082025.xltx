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B8B49FC1-04D0-41B1-84FB-EE684BEBA1E8}" xr6:coauthVersionLast="47" xr6:coauthVersionMax="47" xr10:uidLastSave="{00000000-0000-0000-0000-000000000000}"/>
  <workbookProtection workbookAlgorithmName="SHA-512" workbookHashValue="LTQtZfzLrNu978yBXWfzso3FqIH25wY9CYHM+U+Cdkns0XkCuYODrPlLBs7leXjgxSj1b5RrnDdhz/CQ0f6gLQ==" workbookSaltValue="XBQnCYLl0PK4N4qzDpAUJg==" workbookSpinCount="100000" lockStructure="1"/>
  <bookViews>
    <workbookView xWindow="-120" yWindow="-120" windowWidth="29040" windowHeight="15720" tabRatio="476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I5" i="10" a="1"/>
  <c r="I5" i="10" s="1"/>
  <c r="H5" i="10" a="1"/>
  <c r="H5" i="10" s="1"/>
  <c r="G5" i="10" a="1"/>
  <c r="G5" i="10" s="1"/>
  <c r="J5" i="9" a="1"/>
  <c r="J5" i="9" s="1"/>
  <c r="I5" i="9" a="1"/>
  <c r="I5" i="9" s="1"/>
  <c r="H5" i="9" a="1"/>
  <c r="H5" i="9" s="1"/>
  <c r="G5" i="9" a="1"/>
  <c r="G5" i="9" s="1"/>
  <c r="G5" i="4" a="1"/>
  <c r="G5" i="4" s="1"/>
  <c r="J5" i="4" a="1"/>
  <c r="J5" i="4" s="1"/>
  <c r="I5" i="4" a="1"/>
  <c r="I5" i="4" s="1"/>
  <c r="H5" i="4" a="1"/>
  <c r="H5" i="4" s="1"/>
  <c r="H29" i="8" l="1"/>
  <c r="H28" i="8"/>
  <c r="H27" i="8"/>
  <c r="H26" i="8"/>
  <c r="H25" i="8"/>
  <c r="H23" i="8"/>
  <c r="H24" i="8"/>
  <c r="H29" i="7"/>
  <c r="H28" i="7"/>
  <c r="H27" i="7"/>
  <c r="H26" i="7"/>
  <c r="H25" i="7"/>
  <c r="H23" i="7"/>
  <c r="H24" i="7"/>
  <c r="H29" i="1"/>
  <c r="H28" i="1"/>
  <c r="H27" i="1"/>
  <c r="H26" i="1"/>
  <c r="H23" i="1"/>
  <c r="H25" i="1"/>
  <c r="H24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<sst xmlns="http://schemas.openxmlformats.org/spreadsheetml/2006/main" count="171" uniqueCount="34">
  <si>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</si>
  <si>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</si>
  <si>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</si>
  <si>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</si>
  <si>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</si>
  <si>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</si>
  <si>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</si>
  <si>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</si>
  <si>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</si>
  <si>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</si>
  <si>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</si>
  <si>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</si>
  <si>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</si>
  <si>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</si>
  <si>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</si>
  <si>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</si>
  <si>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</si>
  <si>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</si>
  <si>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</si>
  <si>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T3-STA-ENG</t>
  </si>
  <si>
    <t>T3-DOE-MEET</t>
  </si>
  <si>
    <t>T3-DOE-MSIP</t>
  </si>
  <si>
    <t>T3-UST-MEET</t>
  </si>
  <si>
    <t>T3-SVP-MEET</t>
  </si>
  <si>
    <t>T3-RESR-MEET</t>
  </si>
  <si>
    <t>T3-ADV-MEET</t>
  </si>
  <si>
    <t>T3-QFOR-EVAL</t>
  </si>
  <si>
    <t>T3-EXT-EVAL</t>
  </si>
  <si>
    <t>S.No</t>
  </si>
  <si>
    <t>Sub-Code</t>
  </si>
  <si>
    <t>T3-STU-ENG</t>
  </si>
  <si>
    <t>T3-STU-UNV</t>
  </si>
  <si>
    <t>T3-IMP</t>
  </si>
  <si>
    <t>T3-IMP-UNV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</si>
</sst>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571500</xdr:colOff>
      <xdr:row>10</xdr:row>
      <xdr:rowOff>71438</xdr:rowOff>
    </xdr:from>
    <xdr:to>
      <xdr:col>9</xdr:col>
      <xdr:colOff>440532</xdr:colOff>
      <xdr:row>15</xdr:row>
      <xdr:rowOff>156712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F6A5B-F0AC-4B26-B741-D24BBC068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71500" y="1976438"/>
          <a:ext cx="5548313" cy="1049680"/>
        </a:xfrm>
        <a:prstGeom prst="rect">
          <a:avLst/>
        </a:prstGeom>
      </xdr:spPr>
    </xdr:pic>
    <xdr:clientData/>
  </xdr:twoCellAnchor>
  <xdr:twoCellAnchor editAs="oneCell">
    <xdr:from>
      <xdr:col>12</xdr:col>
      <xdr:colOff>154783</xdr:colOff>
      <xdr:row>7</xdr:row>
      <xdr:rowOff>35718</xdr:rowOff>
    </xdr:from>
    <xdr:to>
      <xdr:col>21</xdr:col>
      <xdr:colOff>45980</xdr:colOff>
      <xdr:row>10</xdr:row>
      <xdr:rowOff>142874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75A358-93D8-4CFE-8536-5DEC8A37A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584283" y="1369218"/>
          <a:ext cx="5356166" cy="678656"/>
        </a:xfrm>
        <a:prstGeom prst="rect">
          <a:avLst/>
        </a:prstGeom>
      </xdr:spPr>
    </xdr:pic>
    <xdr:clientData/>
  </xdr:twoCellAnchor>
  <xdr:twoCellAnchor editAs="oneCell">
    <xdr:from>
      <xdr:col>23</xdr:col>
      <xdr:colOff>176214</xdr:colOff>
      <xdr:row>7</xdr:row>
      <xdr:rowOff>33337</xdr:rowOff>
    </xdr:from>
    <xdr:to>
      <xdr:col>32</xdr:col>
      <xdr:colOff>67411</xdr:colOff>
      <xdr:row>10</xdr:row>
      <xdr:rowOff>140493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6A12CAEE-8342-401D-8710-D8046C2E5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85120" y="1366837"/>
          <a:ext cx="5356166" cy="678656"/>
        </a:xfrm>
        <a:prstGeom prst="rect">
          <a:avLst/>
        </a:prstGeom>
      </xdr:spPr>
    </xdr:pic>
    <xdr:clientData/>
  </xdr:twoCellAnchor>
  <xdr:twoCellAnchor editAs="oneCell">
    <xdr:from>
      <xdr:col>34</xdr:col>
      <xdr:colOff>245270</xdr:colOff>
      <xdr:row>7</xdr:row>
      <xdr:rowOff>7142</xdr:rowOff>
    </xdr:from>
    <xdr:to>
      <xdr:col>43</xdr:col>
      <xdr:colOff>136468</xdr:colOff>
      <xdr:row>10</xdr:row>
      <xdr:rowOff>114298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FDD94CE6-8A7A-45C5-B915-A2FFF3BBD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1033583" y="1340642"/>
          <a:ext cx="5356166" cy="678656"/>
        </a:xfrm>
        <a:prstGeom prst="rect">
          <a:avLst/>
        </a:prstGeom>
      </xdr:spPr>
    </xdr:pic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9047E829-33FA-4C7F-9508-C7ACFDBC4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598688" y="1357312"/>
          <a:ext cx="5356166" cy="6786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571500</xdr:colOff>
      <xdr:row>10</xdr:row>
      <xdr:rowOff>71438</xdr:rowOff>
    </xdr:from>
    <xdr:to>
      <xdr:col>9</xdr:col>
      <xdr:colOff>440532</xdr:colOff>
      <xdr:row>15</xdr:row>
      <xdr:rowOff>156712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CB98EA-68D0-4DC7-8BA6-7844F8B7B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71500" y="1976438"/>
          <a:ext cx="5564982" cy="1047299"/>
        </a:xfrm>
        <a:prstGeom prst="rect">
          <a:avLst/>
        </a:prstGeom>
      </xdr:spPr>
    </xdr:pic>
    <xdr:clientData/>
  </xdr:twoCellAnchor>
  <xdr:twoCellAnchor editAs="oneCell">
    <xdr:from>
      <xdr:col>12</xdr:col>
      <xdr:colOff>154783</xdr:colOff>
      <xdr:row>7</xdr:row>
      <xdr:rowOff>35718</xdr:rowOff>
    </xdr:from>
    <xdr:to>
      <xdr:col>21</xdr:col>
      <xdr:colOff>45980</xdr:colOff>
      <xdr:row>10</xdr:row>
      <xdr:rowOff>142874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7D46824D-AACC-466A-8203-D52FE562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03333" y="1369218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23</xdr:col>
      <xdr:colOff>176214</xdr:colOff>
      <xdr:row>7</xdr:row>
      <xdr:rowOff>33337</xdr:rowOff>
    </xdr:from>
    <xdr:to>
      <xdr:col>32</xdr:col>
      <xdr:colOff>67411</xdr:colOff>
      <xdr:row>10</xdr:row>
      <xdr:rowOff>140493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43556135-36D3-4DEC-8122-BE7DFBB3C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330364" y="1366837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34</xdr:col>
      <xdr:colOff>245270</xdr:colOff>
      <xdr:row>7</xdr:row>
      <xdr:rowOff>7142</xdr:rowOff>
    </xdr:from>
    <xdr:to>
      <xdr:col>43</xdr:col>
      <xdr:colOff>136468</xdr:colOff>
      <xdr:row>10</xdr:row>
      <xdr:rowOff>114298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4BC1A72-DE23-4F3A-A46B-7DB6FB855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1105020" y="1340642"/>
          <a:ext cx="5377598" cy="678656"/>
        </a:xfrm>
        <a:prstGeom prst="rect">
          <a:avLst/>
        </a:prstGeom>
      </xdr:spPr>
    </xdr:pic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321469</xdr:colOff>
      <xdr:row>12</xdr:row>
      <xdr:rowOff>71437</xdr:rowOff>
    </xdr:from>
    <xdr:to>
      <xdr:col>9</xdr:col>
      <xdr:colOff>167772</xdr:colOff>
      <xdr:row>13</xdr:row>
      <xdr:rowOff>107156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786313" y="23574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581025</xdr:colOff>
      <xdr:row>9</xdr:row>
      <xdr:rowOff>21431</xdr:rowOff>
    </xdr:from>
    <xdr:to>
      <xdr:col>20</xdr:col>
      <xdr:colOff>427328</xdr:colOff>
      <xdr:row>10</xdr:row>
      <xdr:rowOff>69056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653838" y="17359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9</xdr:row>
      <xdr:rowOff>30956</xdr:rowOff>
    </xdr:from>
    <xdr:to>
      <xdr:col>31</xdr:col>
      <xdr:colOff>472572</xdr:colOff>
      <xdr:row>10</xdr:row>
      <xdr:rowOff>78581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378488" y="1745456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41</xdr:col>
      <xdr:colOff>111919</xdr:colOff>
      <xdr:row>8</xdr:row>
      <xdr:rowOff>183356</xdr:rowOff>
    </xdr:from>
    <xdr:to>
      <xdr:col>42</xdr:col>
      <xdr:colOff>565440</xdr:colOff>
      <xdr:row>10</xdr:row>
      <xdr:rowOff>40481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5150763" y="1707356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571500</xdr:colOff>
      <xdr:row>10</xdr:row>
      <xdr:rowOff>71438</xdr:rowOff>
    </xdr:from>
    <xdr:to>
      <xdr:col>9</xdr:col>
      <xdr:colOff>440532</xdr:colOff>
      <xdr:row>15</xdr:row>
      <xdr:rowOff>156712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4CF074D-DA42-408C-9574-A580CCC6B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71500" y="1976438"/>
          <a:ext cx="5564982" cy="1047299"/>
        </a:xfrm>
        <a:prstGeom prst="rect">
          <a:avLst/>
        </a:prstGeom>
      </xdr:spPr>
    </xdr:pic>
    <xdr:clientData/>
  </xdr:twoCellAnchor>
  <xdr:twoCellAnchor editAs="oneCell">
    <xdr:from>
      <xdr:col>12</xdr:col>
      <xdr:colOff>154783</xdr:colOff>
      <xdr:row>7</xdr:row>
      <xdr:rowOff>35718</xdr:rowOff>
    </xdr:from>
    <xdr:to>
      <xdr:col>21</xdr:col>
      <xdr:colOff>45980</xdr:colOff>
      <xdr:row>10</xdr:row>
      <xdr:rowOff>142874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6746E43E-3CF8-4D5B-951E-19EE3876A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03333" y="1369218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23</xdr:col>
      <xdr:colOff>176214</xdr:colOff>
      <xdr:row>7</xdr:row>
      <xdr:rowOff>33337</xdr:rowOff>
    </xdr:from>
    <xdr:to>
      <xdr:col>32</xdr:col>
      <xdr:colOff>67411</xdr:colOff>
      <xdr:row>10</xdr:row>
      <xdr:rowOff>140493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6714C769-5943-4581-90C4-DD8F5BA92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330364" y="1366837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34</xdr:col>
      <xdr:colOff>245270</xdr:colOff>
      <xdr:row>7</xdr:row>
      <xdr:rowOff>7142</xdr:rowOff>
    </xdr:from>
    <xdr:to>
      <xdr:col>43</xdr:col>
      <xdr:colOff>136468</xdr:colOff>
      <xdr:row>10</xdr:row>
      <xdr:rowOff>114298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7835A4F-F104-45C6-A79D-0B80F735E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1105020" y="1340642"/>
          <a:ext cx="5377598" cy="678656"/>
        </a:xfrm>
        <a:prstGeom prst="rect">
          <a:avLst/>
        </a:prstGeom>
      </xdr:spPr>
    </xdr:pic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8F5AA31A-93BE-409F-AF33-73408A803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41</xdr:col>
      <xdr:colOff>90489</xdr:colOff>
      <xdr:row>9</xdr:row>
      <xdr:rowOff>11906</xdr:rowOff>
    </xdr:from>
    <xdr:to>
      <xdr:col>42</xdr:col>
      <xdr:colOff>545581</xdr:colOff>
      <xdr:row>10</xdr:row>
      <xdr:rowOff>9524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82A1E469-38B5-47E3-9B5B-440DD8A57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5129333" y="1726406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564357</xdr:colOff>
      <xdr:row>9</xdr:row>
      <xdr:rowOff>45244</xdr:rowOff>
    </xdr:from>
    <xdr:to>
      <xdr:col>53</xdr:col>
      <xdr:colOff>412230</xdr:colOff>
      <xdr:row>10</xdr:row>
      <xdr:rowOff>42862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33480D4A-A51C-4803-86DD-A8EAAEA75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1675388" y="1759744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30</xdr:col>
      <xdr:colOff>35718</xdr:colOff>
      <xdr:row>9</xdr:row>
      <xdr:rowOff>35719</xdr:rowOff>
    </xdr:from>
    <xdr:to>
      <xdr:col>31</xdr:col>
      <xdr:colOff>490811</xdr:colOff>
      <xdr:row>10</xdr:row>
      <xdr:rowOff>33337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5DC33216-D37D-493F-8459-E3BD6C950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395156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19</xdr:col>
      <xdr:colOff>11907</xdr:colOff>
      <xdr:row>9</xdr:row>
      <xdr:rowOff>47625</xdr:rowOff>
    </xdr:from>
    <xdr:to>
      <xdr:col>20</xdr:col>
      <xdr:colOff>466999</xdr:colOff>
      <xdr:row>10</xdr:row>
      <xdr:rowOff>45243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691938" y="17621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309562</xdr:colOff>
      <xdr:row>12</xdr:row>
      <xdr:rowOff>95250</xdr:rowOff>
    </xdr:from>
    <xdr:to>
      <xdr:col>9</xdr:col>
      <xdr:colOff>157436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774406" y="2381250"/>
          <a:ext cx="1062311" cy="1881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tabSelected="1" view="pageBreakPreview" zoomScale="80" zoomScaleNormal="60" zoomScaleSheetLayoutView="80" zoomScalePageLayoutView="70" workbookViewId="0">
      <selection activeCell="M28" sqref="M28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11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 t="s">
        <v>32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 t="s">
        <v>4</v>
      </c>
      <c r="O16" s="20"/>
      <c r="P16" s="17">
        <v>2</v>
      </c>
      <c r="Q16" s="21"/>
      <c r="R16" s="22"/>
      <c r="S16" s="22"/>
      <c r="T16" s="22"/>
      <c r="U16" s="22"/>
      <c r="V16" s="1"/>
      <c r="W16" s="1"/>
      <c r="X16" s="15"/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/>
      <c r="O19" s="20"/>
      <c r="P19" s="17"/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table_1'!G5:J14)</f>
        <v>1</v>
      </c>
      <c r="I23" s="9">
        <f ca="1">H23/$I$18</f>
        <v>0.33333333333333331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table_1'!G15:J18)</f>
        <v>2</v>
      </c>
      <c r="I24" s="11">
        <f ca="1">H24/$I$18</f>
        <v>0.66666666666666663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table_1'!G19:J21)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table_1'!G24:J24)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table_1'!G25:J25)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table_1'!G26:J26)</f>
        <v>2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f5hHApp2cjcRudlUDcbsdMb1NBcdMkF9GT9/ax+6phWhHqvduVktgUE2ilQnwUuHKm2X9NtP2sQ45ckCd7tgEw==" saltValue="n57nxN2ygsA8cMvulyT5og==" spinCount="100000" sheet="1" objects="1" scenarios="1" selectLockedCells="1"/>
  <mergeCells count="307"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</mergeCells>
  <phoneticPr fontId="1" type="noConversion"/>
  <conditionalFormatting sqref="M14:M50">
    <cfRule type="duplicateValues" dxfId="8" priority="4"/>
  </conditionalFormatting>
  <conditionalFormatting sqref="X14:X50">
    <cfRule type="duplicateValues" dxfId="7" priority="3"/>
  </conditionalFormatting>
  <conditionalFormatting sqref="AI14:AI50">
    <cfRule type="duplicateValues" dxfId="6" priority="2"/>
  </conditionalFormatting>
  <conditionalFormatting sqref="M14:M50 X14:X50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41CE93-86E4-4524-B8BB-C195DD36084B}">
          <x14:formula1>
            <xm:f>'Mapping table_1'!$F$5:$F$26</xm:f>
          </x14:formula1>
          <xm:sqref>N14:O50 Y14:Z50 AJ14:AK50 AU14:AV50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7"/>
  <sheetViews>
    <sheetView workbookViewId="0">
      <selection activeCell="O22" sqref="O22"/>
    </sheetView>
  </sheetViews>
  <sheetFormatPr defaultRowHeight="15" x14ac:dyDescent="0.25"/>
  <cols>
    <col min="5" max="5" width="18.42578125" bestFit="1" customWidth="1"/>
    <col min="6" max="6" width="13.71093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28</v>
      </c>
      <c r="E4" t="s">
        <v>8</v>
      </c>
      <c r="F4" t="s">
        <v>29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10</v>
      </c>
      <c r="F5" t="s">
        <v>11</v>
      </c>
      <c r="G5" s="2" cm="1">
        <f t="array" aca="1" ref="G5:G27" ca="1">SUMIF('January 2025'!N14:P50,'Mapping table_1'!F5:F27,'January 2025'!P14:P50)</f>
        <v>1</v>
      </c>
      <c r="H5" s="2" cm="1">
        <f t="array" aca="1" ref="H5:H27" ca="1">SUMIF('January 2025'!Y14:AA50,'Mapping table_1'!F5:F27,'January 2025'!AA14:AA50)</f>
        <v>0</v>
      </c>
      <c r="I5" s="2" cm="1">
        <f t="array" aca="1" ref="I5:I27" ca="1">SUMIF('January 2025'!AJ14:AL50,'Mapping table_1'!F5:F27,'January 2025'!AL14:AL50)</f>
        <v>0</v>
      </c>
      <c r="J5" s="2" cm="1">
        <f t="array" aca="1" ref="J5:J27" ca="1">SUMIF('January 2025'!AU14:AW50,'Mapping table_1'!F5:F27,'January 2025'!AW14:AW50)</f>
        <v>0</v>
      </c>
    </row>
    <row r="6" spans="4:10" x14ac:dyDescent="0.25">
      <c r="D6">
        <v>2</v>
      </c>
      <c r="E6" t="s">
        <v>10</v>
      </c>
      <c r="F6" t="s">
        <v>19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20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21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22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23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24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25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26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27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9</v>
      </c>
      <c r="F15" t="s">
        <v>30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9</v>
      </c>
      <c r="F16" t="s">
        <v>31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9</v>
      </c>
      <c r="F17" t="s">
        <v>32</v>
      </c>
      <c r="G17" s="2">
        <f ca="1"/>
        <v>2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9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2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G27">
        <f ca="1"/>
        <v>0</v>
      </c>
      <c r="H27">
        <f ca="1"/>
        <v>0</v>
      </c>
      <c r="I27">
        <f ca="1"/>
        <v>0</v>
      </c>
      <c r="J27">
        <f ca="1"/>
        <v>0</v>
      </c>
    </row>
  </sheetData>
  <mergeCells count="1">
    <mergeCell ref="E3:J3"/>
  </mergeCells>
  <conditionalFormatting sqref="F6:F26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view="pageBreakPreview" zoomScale="80" zoomScaleNormal="60" zoomScaleSheetLayoutView="80" zoomScalePageLayoutView="70" workbookViewId="0">
      <selection activeCell="M14" sqref="M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13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32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19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10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26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11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table_2'!G5:J14)</f>
        <v>7</v>
      </c>
      <c r="I23" s="9">
        <f ca="1">H23/$I$18</f>
        <v>0.7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table_2'!G15:J18)</f>
        <v>1</v>
      </c>
      <c r="I24" s="11">
        <f ca="1">H24/$I$18</f>
        <v>0.1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table_2'!G19:J21)</f>
        <v>2</v>
      </c>
      <c r="I25" s="13">
        <f ca="1">H25/$I$18</f>
        <v>0.2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table_2'!G24:J24)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table_2'!G25:J25)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table_2'!G26:J26)</f>
        <v>2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/n1HnbqmRBaFTus+97/kRWoYdqSE3oFTgmsdQl2/qgaMeqT75DputDSIP9s00Rgpb/P2wEfLAAF0BmrFKb2pgQ==" saltValue="Z2N89xxnkn55EB2wPk7DIA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1 AI14:AI50 AT14:AT50">
    <cfRule type="duplicateValues" dxfId="3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B9B350-8807-409A-85AE-3ADF7CBAC6F5}">
          <x14:formula1>
            <xm:f>'Mapping table_1'!$F$5:$F$26</xm:f>
          </x14:formula1>
          <xm:sqref>N14:O50 Y14:Z50 AJ14:AK50 AU14:AV50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7"/>
  <sheetViews>
    <sheetView workbookViewId="0">
      <selection activeCell="H34" sqref="H34"/>
    </sheetView>
  </sheetViews>
  <sheetFormatPr defaultRowHeight="15" x14ac:dyDescent="0.25"/>
  <cols>
    <col min="5" max="5" width="18.42578125" bestFit="1" customWidth="1"/>
    <col min="6" max="6" width="13.71093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28</v>
      </c>
      <c r="E4" t="s">
        <v>8</v>
      </c>
      <c r="F4" t="s">
        <v>29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10</v>
      </c>
      <c r="F5" t="s">
        <v>11</v>
      </c>
      <c r="G5" s="2" cm="1">
        <f t="array" aca="1" ref="G5:G27" ca="1">SUMIF('February 2025'!N14:P50,'Mapping table_2'!F5:F27,'February 2025'!P14:P50)</f>
        <v>3</v>
      </c>
      <c r="H5" s="2" cm="1">
        <f t="array" aca="1" ref="H5:H27" ca="1">SUMIF('February 2025'!Y14:AA50,'Mapping table_2'!F5:F27,'February 2025'!AA14:AA50)</f>
        <v>0</v>
      </c>
      <c r="I5" s="2" cm="1">
        <f t="array" aca="1" ref="I5:I27" ca="1">SUMIF('February 2025'!AJ14:AL50,'Mapping table_2'!F5:F27,'February 2025'!AL14:AL50)</f>
        <v>0</v>
      </c>
      <c r="J5" s="2" cm="1">
        <f t="array" aca="1" ref="J5:J27" ca="1">SUMIF('February 2025'!AU14:AW50,'Mapping table_2'!F5:F27,'February 2025'!AW14:AW50)</f>
        <v>0</v>
      </c>
    </row>
    <row r="6" spans="4:10" x14ac:dyDescent="0.25">
      <c r="D6">
        <v>2</v>
      </c>
      <c r="E6" t="s">
        <v>10</v>
      </c>
      <c r="F6" t="s">
        <v>19</v>
      </c>
      <c r="G6" s="2">
        <f ca="1"/>
        <v>0</v>
      </c>
      <c r="H6" s="2">
        <f ca="1"/>
        <v>2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20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21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22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23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24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25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26</v>
      </c>
      <c r="G13" s="2">
        <f ca="1"/>
        <v>0</v>
      </c>
      <c r="H13" s="2">
        <f ca="1"/>
        <v>0</v>
      </c>
      <c r="I13" s="2">
        <f ca="1"/>
        <v>2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27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9</v>
      </c>
      <c r="F15" t="s">
        <v>30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9</v>
      </c>
      <c r="F16" t="s">
        <v>31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9</v>
      </c>
      <c r="F17" t="s">
        <v>32</v>
      </c>
      <c r="G17" s="2">
        <f ca="1"/>
        <v>1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9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2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2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G27">
        <f ca="1"/>
        <v>0</v>
      </c>
      <c r="H27">
        <f ca="1"/>
        <v>0</v>
      </c>
      <c r="I27">
        <f ca="1"/>
        <v>0</v>
      </c>
      <c r="J27">
        <f ca="1"/>
        <v>0</v>
      </c>
    </row>
  </sheetData>
  <mergeCells count="1">
    <mergeCell ref="E3:J3"/>
  </mergeCells>
  <conditionalFormatting sqref="F6:F26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zoomScale="80" zoomScaleNormal="60" zoomScaleSheetLayoutView="80" zoomScalePageLayoutView="70" workbookViewId="0">
      <selection activeCell="Q35" sqref="Q35:U35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14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/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table_3'!G5:J14)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table_3'!G15:J18)</f>
        <v>0</v>
      </c>
      <c r="I24" s="11">
        <f ca="1">H24/$I$18</f>
        <v>0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table_3'!G19:J21)</f>
        <v>3</v>
      </c>
      <c r="I25" s="13">
        <f ca="1">H25/$I$18</f>
        <v>1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table_3'!G24:J24)</f>
        <v>0</v>
      </c>
      <c r="I27" s="7"/>
      <c r="J27" s="7"/>
      <c r="K27" s="1"/>
      <c r="L27" s="1"/>
      <c r="M27" s="15">
        <v>1</v>
      </c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table_3'!G25:J25)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table_3'!G26:J26)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rTxQg1yJsp56VIBtJc9P6En1GD+qdOXg/ZxoOJEdyYECfJWDBvKwpF8lCylFXaD0/oUw9q2GeHbADdtgUtIfDw==" saltValue="k2wv47Ydpao/cRT9eyELwA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0 AI14:AI50 AT14:AT51">
    <cfRule type="duplicateValues" dxfId="1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908F8A-2E1E-4DEA-98A0-36216A314C65}">
          <x14:formula1>
            <xm:f>'Mapping table_1'!$F$5:$F$26</xm:f>
          </x14:formula1>
          <xm:sqref>N14:O50 Y14:Z50 AJ14:AK50 AU14:AV50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7"/>
  <sheetViews>
    <sheetView workbookViewId="0">
      <selection activeCell="J6" sqref="J6"/>
    </sheetView>
  </sheetViews>
  <sheetFormatPr defaultRowHeight="15" x14ac:dyDescent="0.25"/>
  <cols>
    <col min="5" max="5" width="18.42578125" bestFit="1" customWidth="1"/>
    <col min="6" max="6" width="13.71093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28</v>
      </c>
      <c r="E4" t="s">
        <v>8</v>
      </c>
      <c r="F4" t="s">
        <v>29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10</v>
      </c>
      <c r="F5" t="s">
        <v>11</v>
      </c>
      <c r="G5" s="2" cm="1">
        <f t="array" aca="1" ref="G5:G27" ca="1">SUMIF('March 2025'!N14:P50,'Mapping table_3'!F5:F27,'March 2025'!P14:P50)</f>
        <v>0</v>
      </c>
      <c r="H5" s="2" cm="1">
        <f t="array" aca="1" ref="H5:H27" ca="1">SUMIF('March 2025'!Y14:AA50,'Mapping table_3'!F5:F27,'March 2025'!AA14:AA50)</f>
        <v>0</v>
      </c>
      <c r="I5" s="2" cm="1">
        <f t="array" aca="1" ref="I5:I27" ca="1">SUMIF('March 2025'!AJ14:AL50,'Mapping table_3'!F5:F27,'March 2025'!AL14:AL50)</f>
        <v>0</v>
      </c>
      <c r="J5" s="2" cm="1">
        <f t="array" aca="1" ref="J5:J27" ca="1">SUMIF('March 2025'!AU14:AW50,'Mapping table_3'!F5:F27,'March 2025'!AW14:AW50)</f>
        <v>0</v>
      </c>
    </row>
    <row r="6" spans="4:10" x14ac:dyDescent="0.25">
      <c r="D6">
        <v>2</v>
      </c>
      <c r="E6" t="s">
        <v>10</v>
      </c>
      <c r="F6" t="s">
        <v>19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20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21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22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23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24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25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26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27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9</v>
      </c>
      <c r="F15" t="s">
        <v>30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9</v>
      </c>
      <c r="F16" t="s">
        <v>31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9</v>
      </c>
      <c r="F17" t="s">
        <v>32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9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3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7</v>
      </c>
      <c r="H26" s="2">
        <f ca="1"/>
        <v>2</v>
      </c>
      <c r="I26" s="2">
        <f ca="1"/>
        <v>2</v>
      </c>
      <c r="J26" s="2">
        <f ca="1"/>
        <v>0</v>
      </c>
    </row>
    <row r="27" spans="4:10" x14ac:dyDescent="0.25">
      <c r="G27">
        <f ca="1"/>
        <v>0</v>
      </c>
      <c r="H27">
        <f ca="1"/>
        <v>0</v>
      </c>
      <c r="I27">
        <f ca="1"/>
        <v>0</v>
      </c>
      <c r="J27">
        <f ca="1"/>
        <v>0</v>
      </c>
    </row>
  </sheetData>
  <mergeCells count="1">
    <mergeCell ref="E3:J3"/>
  </mergeCells>
  <conditionalFormatting sqref="F6:F2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2025-01-08T22:40:50Z</dcterms:modified>
</cp:coreProperties>
</file>