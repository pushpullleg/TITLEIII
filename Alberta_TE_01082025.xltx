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0380788\Documents\Custom Office Templates\"/>
    </mc:Choice>
  </mc:AlternateContent>
  <xr:revisionPtr revIDLastSave="0" documentId="8_{7E115D49-B227-4C0A-BDFD-9088AAD022AF}" xr6:coauthVersionLast="47" xr6:coauthVersionMax="47" xr10:uidLastSave="{00000000-0000-0000-0000-000000000000}"/>
  <bookViews>
    <workbookView xWindow="-120" yWindow="-120" windowWidth="29040" windowHeight="15720" tabRatio="476" xr2:uid="{9CD9153C-7A3C-4AF8-9448-0498AA584D17}"/>
  </bookViews>
  <sheets>
    <sheet name="January 2025" sheetId="1" r:id="rId1"/>
    <sheet name="Mapping table_1" sheetId="4" state="hidden" r:id="rId2"/>
    <sheet name="February 2025" sheetId="7" r:id="rId3"/>
    <sheet name="Mapping table_2" sheetId="9" state="hidden" r:id="rId4"/>
    <sheet name="March 2025" sheetId="8" r:id="rId5"/>
    <sheet name="Mapping table_3" sheetId="10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0" l="1" a="1"/>
  <c r="J5" i="10" s="1"/>
  <c r="I5" i="10" a="1"/>
  <c r="I5" i="10" s="1"/>
  <c r="H5" i="10" a="1"/>
  <c r="H5" i="10" s="1"/>
  <c r="G5" i="10" a="1"/>
  <c r="G5" i="10" s="1"/>
  <c r="J5" i="9" a="1"/>
  <c r="J5" i="9" s="1"/>
  <c r="I5" i="9" a="1"/>
  <c r="I5" i="9" s="1"/>
  <c r="H5" i="9" a="1"/>
  <c r="H5" i="9" s="1"/>
  <c r="G5" i="9" a="1"/>
  <c r="G5" i="9" s="1"/>
  <c r="G5" i="4" a="1"/>
  <c r="G5" i="4" s="1"/>
  <c r="J5" i="4" a="1"/>
  <c r="J5" i="4" s="1"/>
  <c r="I5" i="4" a="1"/>
  <c r="I5" i="4" s="1"/>
  <c r="H5" i="4" a="1"/>
  <c r="H5" i="4" s="1"/>
  <c r="H29" i="8" l="1"/>
  <c r="H28" i="8"/>
  <c r="H27" i="8"/>
  <c r="H24" i="8"/>
  <c r="H26" i="8"/>
  <c r="H25" i="8"/>
  <c r="H23" i="8"/>
  <c r="H29" i="7"/>
  <c r="H28" i="7"/>
  <c r="H27" i="7"/>
  <c r="H26" i="7"/>
  <c r="H24" i="7"/>
  <c r="H25" i="7"/>
  <c r="H23" i="7"/>
  <c r="H29" i="1"/>
  <c r="H28" i="1"/>
  <c r="H27" i="1"/>
  <c r="H26" i="1"/>
  <c r="H24" i="1"/>
  <c r="H25" i="1"/>
  <c r="H23" i="1"/>
  <c r="I18" i="8" l="1"/>
  <c r="I24" i="8" s="1"/>
  <c r="I18" i="7"/>
  <c r="I24" i="7" s="1"/>
  <c r="I18" i="1"/>
  <c r="I24" i="1" s="1"/>
  <c r="I23" i="8" l="1"/>
  <c r="I25" i="8"/>
  <c r="I23" i="7"/>
  <c r="I25" i="7"/>
  <c r="I23" i="1"/>
  <c r="I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<sst xmlns="http://schemas.openxmlformats.org/spreadsheetml/2006/main" count="148" uniqueCount="31">
  <si>
    <t>WK</t>
  </si>
  <si>
    <t>H</t>
  </si>
  <si>
    <t>VA</t>
  </si>
  <si>
    <t>PT</t>
  </si>
  <si>
    <t>IW</t>
  </si>
  <si>
    <t>Mapping table</t>
  </si>
  <si>
    <t>Page 3</t>
  </si>
  <si>
    <t>Page 4</t>
  </si>
  <si>
    <t>Major Code</t>
  </si>
  <si>
    <t>ACTIVITY</t>
  </si>
  <si>
    <t>TASK</t>
  </si>
  <si>
    <t>ADM</t>
  </si>
  <si>
    <t>SERVICE</t>
  </si>
  <si>
    <t>UNV-TRAI</t>
  </si>
  <si>
    <t>UNV-MEET</t>
  </si>
  <si>
    <t>UNV-EVE</t>
  </si>
  <si>
    <t>OTHER</t>
  </si>
  <si>
    <t>Page2</t>
  </si>
  <si>
    <t>Page 5</t>
  </si>
  <si>
    <t>S.No</t>
  </si>
  <si>
    <t>Sub-Code</t>
  </si>
  <si>
    <t>T3-GA-SUP</t>
  </si>
  <si>
    <t>T3-PROG-MEET</t>
  </si>
  <si>
    <t>UST-MEET</t>
  </si>
  <si>
    <t>T3-PROG-TRAI</t>
  </si>
  <si>
    <t>T3-PROG-TRAI-GA</t>
  </si>
  <si>
    <t>T3-UST-TRAI</t>
  </si>
  <si>
    <t>ADM-T3-PREP-GA</t>
  </si>
  <si>
    <t>T3-RESR-MEET-GA</t>
  </si>
  <si>
    <t>T3-ADV-MEET-GA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</si>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</sst>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DCD7D2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F6F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medium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rgb="FFDCD7D2"/>
      </left>
      <right style="thin">
        <color rgb="FFDCD7D2"/>
      </right>
      <top/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medium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medium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medium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medium">
        <color rgb="FFDCD7D2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/>
    </xf>
    <xf numFmtId="0" fontId="0" fillId="2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/>
    <xf numFmtId="9" fontId="4" fillId="3" borderId="0" xfId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9" fontId="0" fillId="2" borderId="9" xfId="1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0" fontId="0" fillId="2" borderId="12" xfId="0" applyFont="1" applyFill="1" applyBorder="1" applyAlignment="1">
      <alignment horizontal="center" vertical="center"/>
    </xf>
    <xf numFmtId="9" fontId="0" fillId="2" borderId="13" xfId="1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F6F6"/>
      <color rgb="FFDCD7D2"/>
      <color rgb="FF716E6B"/>
      <color rgb="FF00386C"/>
      <color rgb="FFF268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30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9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5.png"/><Relationship Id="rId30" Type="http://schemas.openxmlformats.org/officeDocument/2006/relationships/image" Target="../media/image2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3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145B05E8-D97D-46FE-B0B1-E02FAF698ECA}"/>
            </a:ext>
          </a:extLst>
        </xdr:cNvPr>
        <xdr:cNvSpPr/>
      </xdr:nvSpPr>
      <xdr:spPr>
        <a:xfrm>
          <a:off x="69094" y="5066337"/>
          <a:ext cx="4400686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B73C0522-6A37-4CEA-B498-148E975422F7}"/>
            </a:ext>
          </a:extLst>
        </xdr:cNvPr>
        <xdr:cNvSpPr/>
      </xdr:nvSpPr>
      <xdr:spPr>
        <a:xfrm>
          <a:off x="69274" y="3954584"/>
          <a:ext cx="664302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C1D1FB5-0F28-42B3-B70C-51508A7B7339}"/>
            </a:ext>
          </a:extLst>
        </xdr:cNvPr>
        <xdr:cNvSpPr/>
      </xdr:nvSpPr>
      <xdr:spPr>
        <a:xfrm>
          <a:off x="72259" y="1905000"/>
          <a:ext cx="6911043" cy="116077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0A362-D821-4BC4-9F2B-B1F365931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809449" cy="1149066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CC3D72-F879-406D-B3E8-E33373A55A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85413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A59DC0B-66FB-412E-B642-EBADE8E9B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20036" y="3269413"/>
          <a:ext cx="3654079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EC091EA2-A27F-458C-A3D6-9347C8F41F61}"/>
            </a:ext>
          </a:extLst>
        </xdr:cNvPr>
        <xdr:cNvSpPr/>
      </xdr:nvSpPr>
      <xdr:spPr>
        <a:xfrm>
          <a:off x="79395" y="3932499"/>
          <a:ext cx="4392522" cy="152600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5E7BC52-CE03-488F-8DDA-970A9E88500F}"/>
            </a:ext>
          </a:extLst>
        </xdr:cNvPr>
        <xdr:cNvSpPr txBox="1"/>
      </xdr:nvSpPr>
      <xdr:spPr>
        <a:xfrm>
          <a:off x="657225" y="657701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DF4CA0A-9D62-4E04-9545-33F61180A43B}"/>
            </a:ext>
          </a:extLst>
        </xdr:cNvPr>
        <xdr:cNvSpPr txBox="1"/>
      </xdr:nvSpPr>
      <xdr:spPr>
        <a:xfrm>
          <a:off x="647700" y="7920037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DB1E4F1-4884-404C-844B-6DA42D096767}"/>
            </a:ext>
          </a:extLst>
        </xdr:cNvPr>
        <xdr:cNvSpPr txBox="1"/>
      </xdr:nvSpPr>
      <xdr:spPr>
        <a:xfrm>
          <a:off x="638174" y="918686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BFFA3A-112E-4127-B28B-CC4CF15437CF}"/>
            </a:ext>
          </a:extLst>
        </xdr:cNvPr>
        <xdr:cNvSpPr/>
      </xdr:nvSpPr>
      <xdr:spPr>
        <a:xfrm>
          <a:off x="59531" y="59533"/>
          <a:ext cx="6937841" cy="9727686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BD7B608-BBA3-4B93-9B9B-9DA310642AA1}"/>
            </a:ext>
          </a:extLst>
        </xdr:cNvPr>
        <xdr:cNvSpPr/>
      </xdr:nvSpPr>
      <xdr:spPr>
        <a:xfrm>
          <a:off x="7252728" y="71436"/>
          <a:ext cx="6818358" cy="9706257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E2DF879-43F5-4E9A-A8F1-5AA96D88C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2727" y="1451741"/>
          <a:ext cx="3178347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2661C2B7-3F0C-4988-9280-42A0996F4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6672" y="5893594"/>
          <a:ext cx="5888976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AEA3D368-90D8-4702-BD32-5C48CE4BE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143" y="7179469"/>
          <a:ext cx="5853762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1E4B125-C6B8-4596-A7D3-4147D9C54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484395"/>
          <a:ext cx="5817393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351DCDDF-5FCE-4D83-8313-8E8973B4C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97253" y="3969598"/>
          <a:ext cx="811828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D3AB86B9-5F1D-43BE-83B3-A67A3FE27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70263" y="4002740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3270831-831D-45EB-AB33-6111BF446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06706" y="4009308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2C1CAFAA-5E18-4CDD-9478-8681049663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24437" y="390102"/>
          <a:ext cx="248205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C260353E-05B5-4712-B266-7B1C6F56CCF0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457BF14F-CB1B-4CD5-891C-CCE12B9F151F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7" name="Picture 76">
            <a:extLst>
              <a:ext uri="{FF2B5EF4-FFF2-40B4-BE49-F238E27FC236}">
                <a16:creationId xmlns:a16="http://schemas.microsoft.com/office/drawing/2014/main" id="{BDECAB44-9796-42D8-8764-2319FC5E7C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A5FC73F6-1366-4378-A776-3B711248D9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D0487AA6-184E-4F3E-9D7B-0C18874217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27126BA-AD33-4356-A6C6-A251E45D1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8862ABD-B887-4AC7-9C37-8B964F8B1A21}"/>
            </a:ext>
          </a:extLst>
        </xdr:cNvPr>
        <xdr:cNvSpPr/>
      </xdr:nvSpPr>
      <xdr:spPr>
        <a:xfrm>
          <a:off x="7254137" y="2447243"/>
          <a:ext cx="532550" cy="748256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FA3F557-245C-4636-8ACE-52F711FE187E}"/>
            </a:ext>
          </a:extLst>
        </xdr:cNvPr>
        <xdr:cNvSpPr/>
      </xdr:nvSpPr>
      <xdr:spPr>
        <a:xfrm>
          <a:off x="13538256" y="2444862"/>
          <a:ext cx="499213" cy="747899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DFA1C86A-7984-485F-8405-AB675A1F48D7}"/>
            </a:ext>
          </a:extLst>
        </xdr:cNvPr>
        <xdr:cNvSpPr/>
      </xdr:nvSpPr>
      <xdr:spPr>
        <a:xfrm rot="16200000">
          <a:off x="10531080" y="6560345"/>
          <a:ext cx="202406" cy="6536528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FDDC3C6E-E732-4B5B-8DEC-67D0507D31C5}"/>
            </a:ext>
          </a:extLst>
        </xdr:cNvPr>
        <xdr:cNvSpPr/>
      </xdr:nvSpPr>
      <xdr:spPr>
        <a:xfrm>
          <a:off x="7253288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50EF9565-56B1-4CE0-9AB9-CDEE4ECC44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7283585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427F74FC-4C89-4FFE-B3C1-CC1C1707A9A9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2BF38F97-FB9B-4DA2-B60B-8278C211ACE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D8C6A878-F158-4B46-8615-BD407B480F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1B45115A-CB60-4BBD-A512-1A49F8B135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4" name="Picture 63">
            <a:extLst>
              <a:ext uri="{FF2B5EF4-FFF2-40B4-BE49-F238E27FC236}">
                <a16:creationId xmlns:a16="http://schemas.microsoft.com/office/drawing/2014/main" id="{E74E3BD9-5BDE-49CA-B841-7EBEC292BD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592EDF36-61FE-4FA7-B1E3-BF64BCE7F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C3FBE01-B354-480C-A6AF-97C3E118B703}"/>
            </a:ext>
          </a:extLst>
        </xdr:cNvPr>
        <xdr:cNvSpPr/>
      </xdr:nvSpPr>
      <xdr:spPr>
        <a:xfrm>
          <a:off x="7264853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1E4D2EC0-B33B-4CB6-B945-A5B8F8CB8E24}"/>
            </a:ext>
          </a:extLst>
        </xdr:cNvPr>
        <xdr:cNvSpPr/>
      </xdr:nvSpPr>
      <xdr:spPr>
        <a:xfrm>
          <a:off x="13560878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29939EF-B47D-490C-A65F-A2B341EA098F}"/>
            </a:ext>
          </a:extLst>
        </xdr:cNvPr>
        <xdr:cNvSpPr/>
      </xdr:nvSpPr>
      <xdr:spPr>
        <a:xfrm rot="16200000">
          <a:off x="10547749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F92385E2-055D-43B8-B7BC-6ADA42C9A959}"/>
            </a:ext>
          </a:extLst>
        </xdr:cNvPr>
        <xdr:cNvSpPr/>
      </xdr:nvSpPr>
      <xdr:spPr>
        <a:xfrm>
          <a:off x="14273213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88" name="Picture 87">
          <a:extLst>
            <a:ext uri="{FF2B5EF4-FFF2-40B4-BE49-F238E27FC236}">
              <a16:creationId xmlns:a16="http://schemas.microsoft.com/office/drawing/2014/main" id="{6A1DCCE1-FC3C-4199-B12A-39E3B1BB04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225819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85455B32-931A-44F6-8413-6B39B8947CC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754898F4-3058-4F7D-BA89-7BAFC61CC0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683F2599-41AF-4EF9-8B06-3CEA47EFF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FDFB3A17-CAEB-4AFB-8C56-50D4CD6B1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22F336D5-2A68-4D8F-B550-0BFCF74FBD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6" name="Picture 95">
            <a:extLst>
              <a:ext uri="{FF2B5EF4-FFF2-40B4-BE49-F238E27FC236}">
                <a16:creationId xmlns:a16="http://schemas.microsoft.com/office/drawing/2014/main" id="{1FC809E9-8B75-4CE8-B60D-65987D99C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E43E135B-DDC0-484E-B71E-CFA5169CE25F}"/>
            </a:ext>
          </a:extLst>
        </xdr:cNvPr>
        <xdr:cNvSpPr/>
      </xdr:nvSpPr>
      <xdr:spPr>
        <a:xfrm>
          <a:off x="14284778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4774F15E-C275-401B-A3AB-82A2FA4E0597}"/>
            </a:ext>
          </a:extLst>
        </xdr:cNvPr>
        <xdr:cNvSpPr/>
      </xdr:nvSpPr>
      <xdr:spPr>
        <a:xfrm>
          <a:off x="20580803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B821FFEB-BA62-4564-95DD-58BC55496BAD}"/>
            </a:ext>
          </a:extLst>
        </xdr:cNvPr>
        <xdr:cNvSpPr/>
      </xdr:nvSpPr>
      <xdr:spPr>
        <a:xfrm rot="16200000">
          <a:off x="17567674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F09C27A1-50A3-4DC0-9BC2-A63E1E05CB82}"/>
            </a:ext>
          </a:extLst>
        </xdr:cNvPr>
        <xdr:cNvSpPr/>
      </xdr:nvSpPr>
      <xdr:spPr>
        <a:xfrm>
          <a:off x="7252728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101" name="Picture 100">
          <a:extLst>
            <a:ext uri="{FF2B5EF4-FFF2-40B4-BE49-F238E27FC236}">
              <a16:creationId xmlns:a16="http://schemas.microsoft.com/office/drawing/2014/main" id="{C209DB18-4F60-4D31-9EAB-350D993706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03142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104" name="Group 103">
          <a:extLst>
            <a:ext uri="{FF2B5EF4-FFF2-40B4-BE49-F238E27FC236}">
              <a16:creationId xmlns:a16="http://schemas.microsoft.com/office/drawing/2014/main" id="{51A419EB-4BDA-4AB5-880E-DBB9EE2287E0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EEEF09F-DCC5-4526-A502-8996D55704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6" name="Picture 105">
            <a:extLst>
              <a:ext uri="{FF2B5EF4-FFF2-40B4-BE49-F238E27FC236}">
                <a16:creationId xmlns:a16="http://schemas.microsoft.com/office/drawing/2014/main" id="{A3294E48-894F-4F65-8AF3-24593AB23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E58D8056-4FAC-4D0C-8B3D-3DCDFBAF4E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75DE0AC8-5EA1-4741-AC27-2C02B5BBA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DBBCD6DB-11F2-4CEC-AFED-7DAC5FC54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AF7E80E3-D013-44D2-B1B3-020330B885ED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111D7567-47C9-4CF9-8014-870D6B1C8B44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FC4CE47D-FF53-414B-B297-07203E4A42CB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AA6122FB-45C0-4D8F-9B94-5326D4EBC99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1CA3CDC3-2054-4BBC-932B-52B67CBD5B7B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52BA4F81-612C-4CC1-AAE8-2D4596FB9431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9" name="Picture 118">
            <a:extLst>
              <a:ext uri="{FF2B5EF4-FFF2-40B4-BE49-F238E27FC236}">
                <a16:creationId xmlns:a16="http://schemas.microsoft.com/office/drawing/2014/main" id="{4BBE63B5-C192-43DD-9356-8D4FCF328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0118228D-767E-4805-AD8C-6A0120B9CB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21" name="Picture 120">
            <a:extLst>
              <a:ext uri="{FF2B5EF4-FFF2-40B4-BE49-F238E27FC236}">
                <a16:creationId xmlns:a16="http://schemas.microsoft.com/office/drawing/2014/main" id="{87F429AD-3725-4731-9554-3A36D1637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22" name="Picture 121">
            <a:extLst>
              <a:ext uri="{FF2B5EF4-FFF2-40B4-BE49-F238E27FC236}">
                <a16:creationId xmlns:a16="http://schemas.microsoft.com/office/drawing/2014/main" id="{F98A0243-8D18-4501-9742-4E7ADBC6D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FD9014C8-09CB-4EA8-8188-4AE5B3EDCA55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52D8D28E-991F-418B-91F0-43F6741E6326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B39EBBAE-0ACE-41D3-9829-18E5E3025DC2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C7FC39F2-35E6-42BF-9959-7F06743F8BA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127" name="Picture 126">
          <a:extLst>
            <a:ext uri="{FF2B5EF4-FFF2-40B4-BE49-F238E27FC236}">
              <a16:creationId xmlns:a16="http://schemas.microsoft.com/office/drawing/2014/main" id="{5E4ED967-314D-44D4-9DAA-5948BDAB57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30" name="Group 129">
          <a:extLst>
            <a:ext uri="{FF2B5EF4-FFF2-40B4-BE49-F238E27FC236}">
              <a16:creationId xmlns:a16="http://schemas.microsoft.com/office/drawing/2014/main" id="{8020E5E7-9F67-4765-A068-BEF64B85DD4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31" name="Rectangle 130">
            <a:extLst>
              <a:ext uri="{FF2B5EF4-FFF2-40B4-BE49-F238E27FC236}">
                <a16:creationId xmlns:a16="http://schemas.microsoft.com/office/drawing/2014/main" id="{D0E703C4-7B1A-4705-8DF4-1AD0EA244DA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F836BEBF-906F-4D74-A9B3-3DF18C470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36722703-ACAC-41D8-89D7-36C254B7E2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2002BED1-B796-461F-BFCB-95FB50A5A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35" name="Picture 134">
            <a:extLst>
              <a:ext uri="{FF2B5EF4-FFF2-40B4-BE49-F238E27FC236}">
                <a16:creationId xmlns:a16="http://schemas.microsoft.com/office/drawing/2014/main" id="{9BD28F6D-1455-4311-B971-1A8A4D6E52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1BC3F57-1C3B-4133-B0AE-B7E7390EDABB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9B340B2B-F560-4C26-8000-1605D1772D39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376C8ACA-4221-4F52-BA4E-06B9E80F40EE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DF3CCA3B-C5C0-4231-9028-5EBA67B338C9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140" name="Picture 139">
          <a:extLst>
            <a:ext uri="{FF2B5EF4-FFF2-40B4-BE49-F238E27FC236}">
              <a16:creationId xmlns:a16="http://schemas.microsoft.com/office/drawing/2014/main" id="{577CCABE-C876-4298-8D20-EFDC88D6A1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43" name="Group 142">
          <a:extLst>
            <a:ext uri="{FF2B5EF4-FFF2-40B4-BE49-F238E27FC236}">
              <a16:creationId xmlns:a16="http://schemas.microsoft.com/office/drawing/2014/main" id="{697D3AF4-8E00-4B35-8EC8-ABA245978F3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7487C630-652C-4D97-947A-1205B964E69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45" name="Picture 144">
            <a:extLst>
              <a:ext uri="{FF2B5EF4-FFF2-40B4-BE49-F238E27FC236}">
                <a16:creationId xmlns:a16="http://schemas.microsoft.com/office/drawing/2014/main" id="{04556D0B-8224-4153-B0CD-1E2AB2044E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46" name="Picture 145">
            <a:extLst>
              <a:ext uri="{FF2B5EF4-FFF2-40B4-BE49-F238E27FC236}">
                <a16:creationId xmlns:a16="http://schemas.microsoft.com/office/drawing/2014/main" id="{7221AB18-F219-470E-85B1-4BB1CD2D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9A69DF49-DF05-4E22-9B3A-F64A61125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48" name="Picture 147">
            <a:extLst>
              <a:ext uri="{FF2B5EF4-FFF2-40B4-BE49-F238E27FC236}">
                <a16:creationId xmlns:a16="http://schemas.microsoft.com/office/drawing/2014/main" id="{6DCE81C7-7DBC-4A4A-A114-D2561AAD6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11866E3C-E653-46CC-8395-3BEE35699EC8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274A5632-044C-41C5-A708-CA957AB7BDA4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D86A720C-4489-4C30-8B18-DD0823D64DBD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88EB6BC-E67A-42AA-9229-55BEE44EF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62619" y="460720"/>
          <a:ext cx="2482919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2C97FB-E80C-4381-879C-FF938DD8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0290" y="5042297"/>
          <a:ext cx="589120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0AF8BA-28BD-49DB-BCD1-0B7800E5C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8655" y="5193598"/>
          <a:ext cx="911597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A6BEDAC-0DE8-4942-85AB-5541BB7FA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3209" y="5389983"/>
          <a:ext cx="1310826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B41ECA-A9E4-4D82-8779-161769FC9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2919" y="3556182"/>
          <a:ext cx="2666615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2BC8D5A3-CBFD-42D6-B66F-A4F454394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8025" y="453680"/>
          <a:ext cx="2494307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495E1B36-E6A7-494A-9147-0D4841783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538291" y="420270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2A7F77D-493F-4F14-84C1-72781F588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187545" y="426385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4A8956D7-8E74-4E86-9DCA-0E0234017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0847852" y="450526"/>
          <a:ext cx="246312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E663C09-62EA-499C-BC7C-72B42096167C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id="{E5B377A4-6F0E-492A-9C90-0DDC2C9A1806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E009363-F046-4FB2-B335-BACA0F0C8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58" name="Group 157">
          <a:extLst>
            <a:ext uri="{FF2B5EF4-FFF2-40B4-BE49-F238E27FC236}">
              <a16:creationId xmlns:a16="http://schemas.microsoft.com/office/drawing/2014/main" id="{D1544E43-612D-4DB7-AF6F-6DC8EB3758F4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5AF094D3-0081-422F-B23A-73C343A76FB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0" name="Picture 159">
            <a:extLst>
              <a:ext uri="{FF2B5EF4-FFF2-40B4-BE49-F238E27FC236}">
                <a16:creationId xmlns:a16="http://schemas.microsoft.com/office/drawing/2014/main" id="{264B0D6C-C5C0-4423-93DB-C882BC90F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BF115A21-1C7D-4997-B347-4D1A687F990E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E3292F51-6B72-4177-96D5-829AEE74323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4" name="Picture 163">
            <a:extLst>
              <a:ext uri="{FF2B5EF4-FFF2-40B4-BE49-F238E27FC236}">
                <a16:creationId xmlns:a16="http://schemas.microsoft.com/office/drawing/2014/main" id="{60A608DC-E2D0-4D9F-AEF5-8B48FD36F7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9BEBABF4-636D-4BCC-9085-8B10D933F6CB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88E8FEFC-212A-45D8-A859-B9CB4322B920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8B0DD40F-D7AD-4676-BA6C-A509586366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845567B3-EE8F-4C27-A76A-64D631B2A154}"/>
            </a:ext>
          </a:extLst>
        </xdr:cNvPr>
        <xdr:cNvSpPr/>
      </xdr:nvSpPr>
      <xdr:spPr>
        <a:xfrm rot="5400000">
          <a:off x="5763185" y="4638571"/>
          <a:ext cx="1356727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FD45B88-C573-4BD2-A3DF-DCC4378AF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908534" y="4813496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EFBBF3B-E623-4B5F-92C2-D91DC9DE6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3423" y="4418685"/>
          <a:ext cx="2240943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35F2177-25D8-4298-A53A-7981D047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0749" y="4614373"/>
          <a:ext cx="2230035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2E64DBD-CA49-4CD9-A85E-088E83368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3787" y="4251101"/>
          <a:ext cx="3438423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6AE812E4-BC22-460B-BD1C-F0E26B17730F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A60E4035-10D7-4213-8DCF-0ADEB0BCF0AF}"/>
            </a:ext>
          </a:extLst>
        </xdr:cNvPr>
        <xdr:cNvSpPr/>
      </xdr:nvSpPr>
      <xdr:spPr>
        <a:xfrm>
          <a:off x="65314" y="5540829"/>
          <a:ext cx="4403272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585108</xdr:colOff>
      <xdr:row>10</xdr:row>
      <xdr:rowOff>6348</xdr:rowOff>
    </xdr:from>
    <xdr:to>
      <xdr:col>9</xdr:col>
      <xdr:colOff>370796</xdr:colOff>
      <xdr:row>16</xdr:row>
      <xdr:rowOff>11956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D5BAC6FD-8822-44B4-B388-A0BB2CB18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85108" y="1911348"/>
          <a:ext cx="5464969" cy="1160514"/>
        </a:xfrm>
        <a:prstGeom prst="rect">
          <a:avLst/>
        </a:prstGeom>
      </xdr:spPr>
    </xdr:pic>
    <xdr:clientData/>
  </xdr:twoCellAnchor>
  <xdr:twoCellAnchor editAs="oneCell">
    <xdr:from>
      <xdr:col>12</xdr:col>
      <xdr:colOff>190499</xdr:colOff>
      <xdr:row>7</xdr:row>
      <xdr:rowOff>107156</xdr:rowOff>
    </xdr:from>
    <xdr:to>
      <xdr:col>20</xdr:col>
      <xdr:colOff>124493</xdr:colOff>
      <xdr:row>10</xdr:row>
      <xdr:rowOff>107236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F930A092-D952-4AF5-B9C4-F178F437C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19999" y="1440656"/>
          <a:ext cx="4791744" cy="571580"/>
        </a:xfrm>
        <a:prstGeom prst="rect">
          <a:avLst/>
        </a:prstGeom>
      </xdr:spPr>
    </xdr:pic>
    <xdr:clientData/>
  </xdr:twoCellAnchor>
  <xdr:twoCellAnchor editAs="oneCell">
    <xdr:from>
      <xdr:col>23</xdr:col>
      <xdr:colOff>247649</xdr:colOff>
      <xdr:row>7</xdr:row>
      <xdr:rowOff>80962</xdr:rowOff>
    </xdr:from>
    <xdr:to>
      <xdr:col>31</xdr:col>
      <xdr:colOff>181643</xdr:colOff>
      <xdr:row>10</xdr:row>
      <xdr:rowOff>81042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A7D80BF2-A7B2-423F-AF99-C8EC67B20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356555" y="1414462"/>
          <a:ext cx="4791744" cy="571580"/>
        </a:xfrm>
        <a:prstGeom prst="rect">
          <a:avLst/>
        </a:prstGeom>
      </xdr:spPr>
    </xdr:pic>
    <xdr:clientData/>
  </xdr:twoCellAnchor>
  <xdr:twoCellAnchor editAs="oneCell">
    <xdr:from>
      <xdr:col>34</xdr:col>
      <xdr:colOff>102392</xdr:colOff>
      <xdr:row>7</xdr:row>
      <xdr:rowOff>90487</xdr:rowOff>
    </xdr:from>
    <xdr:to>
      <xdr:col>42</xdr:col>
      <xdr:colOff>36386</xdr:colOff>
      <xdr:row>10</xdr:row>
      <xdr:rowOff>90567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52DF336F-1ED5-4404-880E-ABBAC9A96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890705" y="1423987"/>
          <a:ext cx="4791744" cy="571580"/>
        </a:xfrm>
        <a:prstGeom prst="rect">
          <a:avLst/>
        </a:prstGeom>
      </xdr:spPr>
    </xdr:pic>
    <xdr:clientData/>
  </xdr:twoCellAnchor>
  <xdr:twoCellAnchor editAs="oneCell">
    <xdr:from>
      <xdr:col>45</xdr:col>
      <xdr:colOff>207167</xdr:colOff>
      <xdr:row>7</xdr:row>
      <xdr:rowOff>100012</xdr:rowOff>
    </xdr:from>
    <xdr:to>
      <xdr:col>53</xdr:col>
      <xdr:colOff>141161</xdr:colOff>
      <xdr:row>10</xdr:row>
      <xdr:rowOff>100092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EC7F114D-587A-4D79-943E-3F4005837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7674886" y="1433512"/>
          <a:ext cx="4791744" cy="571580"/>
        </a:xfrm>
        <a:prstGeom prst="rect">
          <a:avLst/>
        </a:prstGeom>
      </xdr:spPr>
    </xdr:pic>
    <xdr:clientData/>
  </xdr:twoCellAnchor>
  <xdr:twoCellAnchor editAs="oneCell">
    <xdr:from>
      <xdr:col>51</xdr:col>
      <xdr:colOff>357188</xdr:colOff>
      <xdr:row>9</xdr:row>
      <xdr:rowOff>0</xdr:rowOff>
    </xdr:from>
    <xdr:to>
      <xdr:col>53</xdr:col>
      <xdr:colOff>28699</xdr:colOff>
      <xdr:row>9</xdr:row>
      <xdr:rowOff>171474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4654C56-1EAA-411E-A6E5-EE6FFAC0E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1468219" y="1714500"/>
          <a:ext cx="885949" cy="171474"/>
        </a:xfrm>
        <a:prstGeom prst="rect">
          <a:avLst/>
        </a:prstGeom>
      </xdr:spPr>
    </xdr:pic>
    <xdr:clientData/>
  </xdr:twoCellAnchor>
  <xdr:twoCellAnchor editAs="oneCell">
    <xdr:from>
      <xdr:col>40</xdr:col>
      <xdr:colOff>221455</xdr:colOff>
      <xdr:row>9</xdr:row>
      <xdr:rowOff>7143</xdr:rowOff>
    </xdr:from>
    <xdr:to>
      <xdr:col>41</xdr:col>
      <xdr:colOff>500185</xdr:colOff>
      <xdr:row>9</xdr:row>
      <xdr:rowOff>178617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D943E8F-51A0-45DF-968F-B3AFAEF3C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653080" y="1721643"/>
          <a:ext cx="885949" cy="171474"/>
        </a:xfrm>
        <a:prstGeom prst="rect">
          <a:avLst/>
        </a:prstGeom>
      </xdr:spPr>
    </xdr:pic>
    <xdr:clientData/>
  </xdr:twoCellAnchor>
  <xdr:twoCellAnchor editAs="oneCell">
    <xdr:from>
      <xdr:col>29</xdr:col>
      <xdr:colOff>376030</xdr:colOff>
      <xdr:row>8</xdr:row>
      <xdr:rowOff>184560</xdr:rowOff>
    </xdr:from>
    <xdr:to>
      <xdr:col>31</xdr:col>
      <xdr:colOff>47542</xdr:colOff>
      <xdr:row>9</xdr:row>
      <xdr:rowOff>165534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744AFE5-A5BC-4A23-93FC-18DD73BB4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128249" y="1708560"/>
          <a:ext cx="885949" cy="171474"/>
        </a:xfrm>
        <a:prstGeom prst="rect">
          <a:avLst/>
        </a:prstGeom>
      </xdr:spPr>
    </xdr:pic>
    <xdr:clientData/>
  </xdr:twoCellAnchor>
  <xdr:twoCellAnchor editAs="oneCell">
    <xdr:from>
      <xdr:col>18</xdr:col>
      <xdr:colOff>312875</xdr:colOff>
      <xdr:row>9</xdr:row>
      <xdr:rowOff>14250</xdr:rowOff>
    </xdr:from>
    <xdr:to>
      <xdr:col>19</xdr:col>
      <xdr:colOff>591606</xdr:colOff>
      <xdr:row>9</xdr:row>
      <xdr:rowOff>185724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0302693-B61A-4FC2-86AD-E5E087360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385688" y="1728750"/>
          <a:ext cx="885949" cy="171474"/>
        </a:xfrm>
        <a:prstGeom prst="rect">
          <a:avLst/>
        </a:prstGeom>
      </xdr:spPr>
    </xdr:pic>
    <xdr:clientData/>
  </xdr:twoCellAnchor>
  <xdr:twoCellAnchor editAs="oneCell">
    <xdr:from>
      <xdr:col>7</xdr:col>
      <xdr:colOff>311264</xdr:colOff>
      <xdr:row>12</xdr:row>
      <xdr:rowOff>47625</xdr:rowOff>
    </xdr:from>
    <xdr:to>
      <xdr:col>9</xdr:col>
      <xdr:colOff>138603</xdr:colOff>
      <xdr:row>13</xdr:row>
      <xdr:rowOff>46853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0B626CA-D7DC-4EA9-A554-E3CA85225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776108" y="2333625"/>
          <a:ext cx="1041776" cy="201634"/>
        </a:xfrm>
        <a:prstGeom prst="rect">
          <a:avLst/>
        </a:prstGeom>
      </xdr:spPr>
    </xdr:pic>
    <xdr:clientData/>
  </xdr:twoCellAnchor>
  <xdr:twoCellAnchor editAs="oneCell">
    <xdr:from>
      <xdr:col>6</xdr:col>
      <xdr:colOff>71437</xdr:colOff>
      <xdr:row>10</xdr:row>
      <xdr:rowOff>71438</xdr:rowOff>
    </xdr:from>
    <xdr:to>
      <xdr:col>7</xdr:col>
      <xdr:colOff>543897</xdr:colOff>
      <xdr:row>11</xdr:row>
      <xdr:rowOff>107156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A37CD59-8CC4-4D06-B771-E34F609B5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929062" y="1976438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17</xdr:col>
      <xdr:colOff>152399</xdr:colOff>
      <xdr:row>7</xdr:row>
      <xdr:rowOff>45244</xdr:rowOff>
    </xdr:from>
    <xdr:to>
      <xdr:col>19</xdr:col>
      <xdr:colOff>17641</xdr:colOff>
      <xdr:row>8</xdr:row>
      <xdr:rowOff>80962</xdr:rowOff>
    </xdr:to>
    <xdr:pic>
      <xdr:nvPicPr>
        <xdr:cNvPr id="172" name="Picture 171">
          <a:extLst>
            <a:ext uri="{FF2B5EF4-FFF2-40B4-BE49-F238E27FC236}">
              <a16:creationId xmlns:a16="http://schemas.microsoft.com/office/drawing/2014/main" id="{0D937403-5105-4EE3-93A8-E344E5DAC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617993" y="1378744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28</xdr:col>
      <xdr:colOff>221455</xdr:colOff>
      <xdr:row>7</xdr:row>
      <xdr:rowOff>19050</xdr:rowOff>
    </xdr:from>
    <xdr:to>
      <xdr:col>30</xdr:col>
      <xdr:colOff>86696</xdr:colOff>
      <xdr:row>8</xdr:row>
      <xdr:rowOff>54768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175D2DD5-4E7D-4073-BCFE-090A562F0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366455" y="1352550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39</xdr:col>
      <xdr:colOff>78062</xdr:colOff>
      <xdr:row>7</xdr:row>
      <xdr:rowOff>40340</xdr:rowOff>
    </xdr:from>
    <xdr:to>
      <xdr:col>40</xdr:col>
      <xdr:colOff>550522</xdr:colOff>
      <xdr:row>8</xdr:row>
      <xdr:rowOff>76058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E6518F6B-1C90-45BC-BC49-328A4A32F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902468" y="1373840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50</xdr:col>
      <xdr:colOff>183355</xdr:colOff>
      <xdr:row>7</xdr:row>
      <xdr:rowOff>40480</xdr:rowOff>
    </xdr:from>
    <xdr:to>
      <xdr:col>52</xdr:col>
      <xdr:colOff>48597</xdr:colOff>
      <xdr:row>8</xdr:row>
      <xdr:rowOff>76198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1A65FEED-FA12-40F8-BCC9-F2F068E4D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0687168" y="1373980"/>
          <a:ext cx="1079679" cy="2262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DF2D3D-596A-4C05-9765-38961E518AC4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C4F2521-A3E8-4A35-9547-5E6C73060EB8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10E88B2-0A4C-4487-ACF0-36E1E667FEAB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479D1E-2169-4575-8419-C8CAA7AD1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CE1CB8-B355-4770-B304-6BBF69588A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6BBE3E3-875B-47A1-B071-6E1BAC486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D78636-4D1C-4336-9DEB-F2A13221A20F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C0AED8D-086A-401F-B128-B4E9C3DA4901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0768F34-E592-4BD7-955F-86AB1D7F9EF3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74E6D-5290-4061-8330-7FDE800E8932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F4F4375A-C987-4474-9E76-80F38DD6C1EB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CE08085-713E-4DC7-A3F2-44DE19AC20C6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76DDE6F-E18A-4929-8176-48ED66765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B7A6739-650A-4876-9E97-9ECF0406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E4255A3-783D-40A2-9805-B698DE2EF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E5760B8-07CF-4F6B-AB80-076A43080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7371BC2-6C8B-4626-9587-E92AE54CC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006E475-4240-4C81-90F7-D7D4FDEDC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6B2A23B-96FD-4262-98A2-31FD86A9A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0667308-AB60-4D1F-A3E3-8FB9E66EF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E25AB5E-6C1A-4F1A-9483-B66A52B0C506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35E0775F-112E-48C9-AA0A-4BD79E19ECB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33042106-4128-4442-9CAE-F08531191C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7B6D59D7-AF8D-4E83-A84D-4E0542B0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4ED6ED1A-F2CA-4A61-8506-FD5A919752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4BDBBFD0-1B27-4F18-8423-EAFE71D210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DAF6D36B-66D6-4C50-BF4E-D8EAB27912EB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C954C6B5-79FB-4D91-AE54-7EED49CA5120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8F0A337-68BF-4028-90AB-0866E32C1960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10353F7-459F-42D3-A80D-DE0C280CF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B2F0CA05-3529-43DB-82D7-1E82C9CE16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1141306-9C5C-4CCF-8151-EBEEE810F63E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9996EBAA-89DA-4C04-9A3F-BBBED918400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2DFE4DA1-B32C-4482-9994-5E6670D8A0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C23F914-907C-4C6D-AE24-1ED8B2D04D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F3AD8FD2-9A10-42C5-B843-894CB11478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4211A4E1-3625-48F8-BDC6-9F945F204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302C237-C7D9-4504-A68E-36F52AA16AD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D878C0FF-3FFC-486D-AA0E-9C2C790A90AA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74732156-D7AE-4794-97DE-90E24FF6FCA3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169DD0C6-F469-4D36-B3CB-49C9443F00B2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304CC20F-A90C-42AC-A6C1-628418D04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87B9BE3-E63C-4FD2-AF97-A08323723434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F2E51FB0-5251-4E9B-8B81-6CC64905703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3B43EEE7-8BB0-4B9F-A837-1789D807AF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35E80541-ED5C-40E0-87A3-D4A6608F6B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209C449F-66DD-4BD4-95F5-DFF97B2D44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C6643BFE-379D-4A9F-B381-C650B16A25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6AFE77C-AA03-4094-BF85-45EB15CFF9E3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21277364-889D-4C12-8F8C-91A477835DD5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1CAB992D-B65D-462B-A71A-78F2D2DA7CE4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57D9337C-35D9-4E0D-A5BA-1E97281FE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2F24A206-5AD0-4B85-B13C-88FDC19852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CA9DAF1E-D7E5-4A0B-A9F4-0B3B18088923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CD770A46-6C5B-40F3-A109-451931A7A07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997AC860-0C39-4351-90AD-C7A00144D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759A0CC8-5FDF-4ED1-9FF5-271E5B7D44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74BE9BBA-7271-4852-A0CE-89FBC4139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97E67D8D-21A4-4DEA-965D-ECD3FCE77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00B6D85-954F-4EE2-981D-EEDE803D3F4D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119D4F11-C938-4A4C-9E3A-011EC192BD74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F28D2D84-0BF7-4213-A2A2-7399211A7A1B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0300496-79A2-4FC1-A43F-3B8DB84FB081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18793EC1-B25E-482C-AF39-E1CE498A664E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11F2E411-219E-4320-9264-861E187F923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CD5F1156-7DDE-406B-84DC-4FF8160CF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F62CAF40-0CD8-45EC-A903-AE2B7F774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79896F69-A1E7-43D9-BF2C-5C83CFEDB9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5F0A89C8-AE67-4D4B-85E2-97C62C6F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1A501417-BC39-45B4-A667-4077E9D41446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B28D6CB2-4513-47E0-9C90-17F3C2CEF3B8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33E768D6-8930-4C6C-8407-D5F08D02FB93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F732692-A7DC-47AF-88CF-87C47299455C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A6C62DE4-E9D4-4147-ABB2-999628468A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167BEA89-4BBC-4230-931D-AF7D62F7A15A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594242AA-7BA2-49EA-8B31-9C1F19372C15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370F3140-6CC6-4EB0-90F4-61063529D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81C49404-D036-4DAA-A896-7CB624D3D1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80A4D70E-8D52-46D3-89F1-9D06DAF42C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F51470E-AB88-474A-96E0-A6BDCF17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4875DEEB-329F-498A-AF4A-1BC15B438855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BA249888-93AA-49FE-AB95-E87720DEB967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3CEE00B0-C4AE-474A-9D6F-1B1AD0B835DB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D8EE2885-F03A-4D26-B76C-4DEC0428ABB5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2681E1E2-8FF0-4A6E-B60D-7D4E9DFA30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D59B8DDD-3FFC-431A-A437-5F38E7E20EC1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5CE26238-3BAB-4E36-8028-F8F56673E4C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828826DD-63F7-4E17-8576-748CD5D389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30125751-E977-4F7C-8034-1425B2A2D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44F07E26-829E-4100-AEBC-45C38B902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6D61E047-4B73-459A-A5BB-F5C98628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5BE6745F-E76A-4A18-9692-A4DD0F0D0682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A6E8FBE2-8FF7-4E82-BC9C-0393DCCDAF58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B8945D20-F6A6-4893-8F2F-3041C6AD26E3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43468E0F-87FE-4B82-B101-CFFB0809D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663CC78A-179C-4CB6-A11E-C08FFB195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F798D3BF-8E18-44F8-A7C2-5CD3F6459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7F96E3-79EF-4F33-BEA9-A6C00D14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1B9231FB-BA09-465C-8BD3-76290535C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6CB426F-48DF-4733-B453-CF4487FE5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129EB8B3-03FE-469A-8F18-FCB9F7C06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CA5A7539-1828-481C-B934-F2DE3DCC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66D3598-BEF6-4092-9615-23F3F3F1C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506A005E-74C5-4DCB-9104-2B1ED26FA95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C34DB2AB-04EB-45FD-8361-E73796D09A34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9886EFDD-BB0D-40DA-8778-16DDD01710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D874D888-F0F6-489F-9C04-6856424478C0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6A816DD7-5121-44D8-9113-14529EE80DDD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5AEAD0C3-0A0B-4912-B7A1-0F61155A78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A966CECE-4DD7-423C-8D43-A4B0B151F7D3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BABEEDE1-A188-4AED-83CE-5F8508E667C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97510987-0C25-459C-A78D-28682184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584278F-C829-4464-8028-35EB3821FF9E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A8FBC4D4-C8B7-4790-9245-B91D44A68EC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8FB7299-F25B-489C-9A79-428E255A7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1221AF6-817F-4736-A6F1-6175E924FB02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4125BE7-F255-4F19-BE10-6B5D40EC2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B5CA3896-828D-48A6-96AA-CACD7CC8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9C1A96E-D52C-4B08-A962-2D4DAD3FF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41415226-C3F2-475C-BECC-46F5B4A00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FFBA0957-491C-4D1A-AAA6-36E616161F61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3C697931-0B70-4899-8DFF-151A6DB82D9F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45</xdr:col>
      <xdr:colOff>130969</xdr:colOff>
      <xdr:row>7</xdr:row>
      <xdr:rowOff>23812</xdr:rowOff>
    </xdr:from>
    <xdr:to>
      <xdr:col>54</xdr:col>
      <xdr:colOff>22166</xdr:colOff>
      <xdr:row>10</xdr:row>
      <xdr:rowOff>130968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A5DE2CC8-AD10-4CE1-AFFD-0504E575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7696319" y="1357312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285751</xdr:colOff>
      <xdr:row>12</xdr:row>
      <xdr:rowOff>59531</xdr:rowOff>
    </xdr:from>
    <xdr:to>
      <xdr:col>9</xdr:col>
      <xdr:colOff>132054</xdr:colOff>
      <xdr:row>13</xdr:row>
      <xdr:rowOff>95250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12BA3A16-47D2-4979-9473-CE422F529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750595" y="2345531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18</xdr:col>
      <xdr:colOff>604837</xdr:colOff>
      <xdr:row>9</xdr:row>
      <xdr:rowOff>57150</xdr:rowOff>
    </xdr:from>
    <xdr:to>
      <xdr:col>20</xdr:col>
      <xdr:colOff>323980</xdr:colOff>
      <xdr:row>10</xdr:row>
      <xdr:rowOff>76229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3A4B1766-1E59-44D5-BF77-DED988421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677650" y="1771650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30</xdr:col>
      <xdr:colOff>30956</xdr:colOff>
      <xdr:row>9</xdr:row>
      <xdr:rowOff>42862</xdr:rowOff>
    </xdr:from>
    <xdr:to>
      <xdr:col>31</xdr:col>
      <xdr:colOff>357318</xdr:colOff>
      <xdr:row>10</xdr:row>
      <xdr:rowOff>61941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51A5F66-2DF2-4358-877C-24D7ABFEA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390394" y="1757362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41</xdr:col>
      <xdr:colOff>78582</xdr:colOff>
      <xdr:row>9</xdr:row>
      <xdr:rowOff>19048</xdr:rowOff>
    </xdr:from>
    <xdr:to>
      <xdr:col>42</xdr:col>
      <xdr:colOff>404943</xdr:colOff>
      <xdr:row>10</xdr:row>
      <xdr:rowOff>38127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E06CAD0-355A-4500-9017-E7BEF2632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117426" y="1733548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51</xdr:col>
      <xdr:colOff>583406</xdr:colOff>
      <xdr:row>9</xdr:row>
      <xdr:rowOff>35719</xdr:rowOff>
    </xdr:from>
    <xdr:to>
      <xdr:col>53</xdr:col>
      <xdr:colOff>302548</xdr:colOff>
      <xdr:row>10</xdr:row>
      <xdr:rowOff>54798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CB2D74-3510-44CE-897B-9D6CFF36C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694437" y="1750219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18</xdr:col>
      <xdr:colOff>426244</xdr:colOff>
      <xdr:row>9</xdr:row>
      <xdr:rowOff>33337</xdr:rowOff>
    </xdr:from>
    <xdr:to>
      <xdr:col>20</xdr:col>
      <xdr:colOff>272547</xdr:colOff>
      <xdr:row>10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F023C696-AC5D-4151-A33C-75D64C472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499057" y="174783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29</xdr:col>
      <xdr:colOff>411956</xdr:colOff>
      <xdr:row>9</xdr:row>
      <xdr:rowOff>7143</xdr:rowOff>
    </xdr:from>
    <xdr:to>
      <xdr:col>31</xdr:col>
      <xdr:colOff>309563</xdr:colOff>
      <xdr:row>10</xdr:row>
      <xdr:rowOff>66285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F7FD7AEE-9F8E-4806-9D5E-C4DE75BC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64175" y="1721643"/>
          <a:ext cx="1112044" cy="249642"/>
        </a:xfrm>
        <a:prstGeom prst="rect">
          <a:avLst/>
        </a:prstGeom>
      </xdr:spPr>
    </xdr:pic>
    <xdr:clientData/>
  </xdr:twoCellAnchor>
  <xdr:twoCellAnchor editAs="oneCell">
    <xdr:from>
      <xdr:col>40</xdr:col>
      <xdr:colOff>445293</xdr:colOff>
      <xdr:row>9</xdr:row>
      <xdr:rowOff>4762</xdr:rowOff>
    </xdr:from>
    <xdr:to>
      <xdr:col>42</xdr:col>
      <xdr:colOff>345280</xdr:colOff>
      <xdr:row>10</xdr:row>
      <xdr:rowOff>64439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CA3B7BC3-3853-4F2B-AB74-3AA62386B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876918" y="1719262"/>
          <a:ext cx="1114425" cy="250177"/>
        </a:xfrm>
        <a:prstGeom prst="rect">
          <a:avLst/>
        </a:prstGeom>
      </xdr:spPr>
    </xdr:pic>
    <xdr:clientData/>
  </xdr:twoCellAnchor>
  <xdr:twoCellAnchor editAs="oneCell">
    <xdr:from>
      <xdr:col>51</xdr:col>
      <xdr:colOff>597694</xdr:colOff>
      <xdr:row>9</xdr:row>
      <xdr:rowOff>14287</xdr:rowOff>
    </xdr:from>
    <xdr:to>
      <xdr:col>53</xdr:col>
      <xdr:colOff>443996</xdr:colOff>
      <xdr:row>10</xdr:row>
      <xdr:rowOff>61912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F6AA998D-5D5E-4088-97F9-A8A90ED43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708725" y="172878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0</xdr:col>
      <xdr:colOff>585108</xdr:colOff>
      <xdr:row>10</xdr:row>
      <xdr:rowOff>6348</xdr:rowOff>
    </xdr:from>
    <xdr:to>
      <xdr:col>9</xdr:col>
      <xdr:colOff>370796</xdr:colOff>
      <xdr:row>16</xdr:row>
      <xdr:rowOff>11956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9100E9C9-76BE-47C4-8BC5-911E42A1B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85108" y="1911348"/>
          <a:ext cx="5464969" cy="1160514"/>
        </a:xfrm>
        <a:prstGeom prst="rect">
          <a:avLst/>
        </a:prstGeom>
      </xdr:spPr>
    </xdr:pic>
    <xdr:clientData/>
  </xdr:twoCellAnchor>
  <xdr:twoCellAnchor editAs="oneCell">
    <xdr:from>
      <xdr:col>12</xdr:col>
      <xdr:colOff>253344</xdr:colOff>
      <xdr:row>7</xdr:row>
      <xdr:rowOff>109501</xdr:rowOff>
    </xdr:from>
    <xdr:to>
      <xdr:col>20</xdr:col>
      <xdr:colOff>187338</xdr:colOff>
      <xdr:row>10</xdr:row>
      <xdr:rowOff>109581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51923FDF-054C-4A4D-8818-7E59A069F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82844" y="1443001"/>
          <a:ext cx="4791744" cy="571580"/>
        </a:xfrm>
        <a:prstGeom prst="rect">
          <a:avLst/>
        </a:prstGeom>
      </xdr:spPr>
    </xdr:pic>
    <xdr:clientData/>
  </xdr:twoCellAnchor>
  <xdr:twoCellAnchor editAs="oneCell">
    <xdr:from>
      <xdr:col>23</xdr:col>
      <xdr:colOff>197435</xdr:colOff>
      <xdr:row>7</xdr:row>
      <xdr:rowOff>101215</xdr:rowOff>
    </xdr:from>
    <xdr:to>
      <xdr:col>31</xdr:col>
      <xdr:colOff>250030</xdr:colOff>
      <xdr:row>10</xdr:row>
      <xdr:rowOff>108341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82718FBD-EF9F-4337-BEF8-ABF13DBFD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306341" y="1434715"/>
          <a:ext cx="4910345" cy="578626"/>
        </a:xfrm>
        <a:prstGeom prst="rect">
          <a:avLst/>
        </a:prstGeom>
      </xdr:spPr>
    </xdr:pic>
    <xdr:clientData/>
  </xdr:twoCellAnchor>
  <xdr:twoCellAnchor editAs="oneCell">
    <xdr:from>
      <xdr:col>34</xdr:col>
      <xdr:colOff>220935</xdr:colOff>
      <xdr:row>7</xdr:row>
      <xdr:rowOff>76058</xdr:rowOff>
    </xdr:from>
    <xdr:to>
      <xdr:col>42</xdr:col>
      <xdr:colOff>250030</xdr:colOff>
      <xdr:row>10</xdr:row>
      <xdr:rowOff>76138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3EC734A1-D01A-4B63-B22B-B58C80B4A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1009248" y="1409558"/>
          <a:ext cx="4886845" cy="571580"/>
        </a:xfrm>
        <a:prstGeom prst="rect">
          <a:avLst/>
        </a:prstGeom>
      </xdr:spPr>
    </xdr:pic>
    <xdr:clientData/>
  </xdr:twoCellAnchor>
  <xdr:twoCellAnchor editAs="oneCell">
    <xdr:from>
      <xdr:col>45</xdr:col>
      <xdr:colOff>30436</xdr:colOff>
      <xdr:row>7</xdr:row>
      <xdr:rowOff>99871</xdr:rowOff>
    </xdr:from>
    <xdr:to>
      <xdr:col>54</xdr:col>
      <xdr:colOff>43868</xdr:colOff>
      <xdr:row>10</xdr:row>
      <xdr:rowOff>130969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3C31EA35-CBC6-45EC-AB49-F23409692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7498155" y="1433371"/>
          <a:ext cx="5478401" cy="602598"/>
        </a:xfrm>
        <a:prstGeom prst="rect">
          <a:avLst/>
        </a:prstGeom>
      </xdr:spPr>
    </xdr:pic>
    <xdr:clientData/>
  </xdr:twoCellAnchor>
  <xdr:twoCellAnchor editAs="oneCell">
    <xdr:from>
      <xdr:col>52</xdr:col>
      <xdr:colOff>107156</xdr:colOff>
      <xdr:row>9</xdr:row>
      <xdr:rowOff>35719</xdr:rowOff>
    </xdr:from>
    <xdr:to>
      <xdr:col>53</xdr:col>
      <xdr:colOff>443044</xdr:colOff>
      <xdr:row>9</xdr:row>
      <xdr:rowOff>178614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0C573819-D742-41D0-B42F-FE0032D3D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1825406" y="1750219"/>
          <a:ext cx="943107" cy="142895"/>
        </a:xfrm>
        <a:prstGeom prst="rect">
          <a:avLst/>
        </a:prstGeom>
      </xdr:spPr>
    </xdr:pic>
    <xdr:clientData/>
  </xdr:twoCellAnchor>
  <xdr:twoCellAnchor editAs="oneCell">
    <xdr:from>
      <xdr:col>40</xdr:col>
      <xdr:colOff>411436</xdr:colOff>
      <xdr:row>9</xdr:row>
      <xdr:rowOff>4621</xdr:rowOff>
    </xdr:from>
    <xdr:to>
      <xdr:col>42</xdr:col>
      <xdr:colOff>140105</xdr:colOff>
      <xdr:row>9</xdr:row>
      <xdr:rowOff>147516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BC218BD4-607F-42A9-B3F9-49B15020F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4843061" y="1719121"/>
          <a:ext cx="943107" cy="142895"/>
        </a:xfrm>
        <a:prstGeom prst="rect">
          <a:avLst/>
        </a:prstGeom>
      </xdr:spPr>
    </xdr:pic>
    <xdr:clientData/>
  </xdr:twoCellAnchor>
  <xdr:twoCellAnchor editAs="oneCell">
    <xdr:from>
      <xdr:col>29</xdr:col>
      <xdr:colOff>423862</xdr:colOff>
      <xdr:row>9</xdr:row>
      <xdr:rowOff>19049</xdr:rowOff>
    </xdr:from>
    <xdr:to>
      <xdr:col>31</xdr:col>
      <xdr:colOff>152532</xdr:colOff>
      <xdr:row>9</xdr:row>
      <xdr:rowOff>161944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D713C7A1-D229-4712-BC8D-07CC513BB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8176081" y="1733549"/>
          <a:ext cx="943107" cy="142895"/>
        </a:xfrm>
        <a:prstGeom prst="rect">
          <a:avLst/>
        </a:prstGeom>
      </xdr:spPr>
    </xdr:pic>
    <xdr:clientData/>
  </xdr:twoCellAnchor>
  <xdr:twoCellAnchor editAs="oneCell">
    <xdr:from>
      <xdr:col>7</xdr:col>
      <xdr:colOff>275546</xdr:colOff>
      <xdr:row>12</xdr:row>
      <xdr:rowOff>65880</xdr:rowOff>
    </xdr:from>
    <xdr:to>
      <xdr:col>9</xdr:col>
      <xdr:colOff>119346</xdr:colOff>
      <xdr:row>13</xdr:row>
      <xdr:rowOff>23813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8B3AD4B7-A621-4AF4-8317-34A919769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4740390" y="2351880"/>
          <a:ext cx="1058237" cy="160339"/>
        </a:xfrm>
        <a:prstGeom prst="rect">
          <a:avLst/>
        </a:prstGeom>
      </xdr:spPr>
    </xdr:pic>
    <xdr:clientData/>
  </xdr:twoCellAnchor>
  <xdr:twoCellAnchor editAs="oneCell">
    <xdr:from>
      <xdr:col>18</xdr:col>
      <xdr:colOff>384313</xdr:colOff>
      <xdr:row>9</xdr:row>
      <xdr:rowOff>38064</xdr:rowOff>
    </xdr:from>
    <xdr:to>
      <xdr:col>20</xdr:col>
      <xdr:colOff>112983</xdr:colOff>
      <xdr:row>9</xdr:row>
      <xdr:rowOff>180959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B9D4A895-5A15-4430-82B4-C10DC6692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1457126" y="1752564"/>
          <a:ext cx="943107" cy="142895"/>
        </a:xfrm>
        <a:prstGeom prst="rect">
          <a:avLst/>
        </a:prstGeom>
      </xdr:spPr>
    </xdr:pic>
    <xdr:clientData/>
  </xdr:twoCellAnchor>
  <xdr:twoCellAnchor editAs="oneCell">
    <xdr:from>
      <xdr:col>50</xdr:col>
      <xdr:colOff>440531</xdr:colOff>
      <xdr:row>7</xdr:row>
      <xdr:rowOff>47625</xdr:rowOff>
    </xdr:from>
    <xdr:to>
      <xdr:col>52</xdr:col>
      <xdr:colOff>305773</xdr:colOff>
      <xdr:row>8</xdr:row>
      <xdr:rowOff>83343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27D6AC00-8707-4644-99B4-A2DA81130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0944344" y="1381125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39</xdr:col>
      <xdr:colOff>247651</xdr:colOff>
      <xdr:row>7</xdr:row>
      <xdr:rowOff>21431</xdr:rowOff>
    </xdr:from>
    <xdr:to>
      <xdr:col>41</xdr:col>
      <xdr:colOff>112892</xdr:colOff>
      <xdr:row>8</xdr:row>
      <xdr:rowOff>57149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D2C868E9-7F3C-4847-8B19-0C76134EA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4072057" y="1354931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28</xdr:col>
      <xdr:colOff>256966</xdr:colOff>
      <xdr:row>7</xdr:row>
      <xdr:rowOff>41684</xdr:rowOff>
    </xdr:from>
    <xdr:to>
      <xdr:col>30</xdr:col>
      <xdr:colOff>122207</xdr:colOff>
      <xdr:row>8</xdr:row>
      <xdr:rowOff>77402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DEED0961-4F39-46A6-94C3-8DF3DCE54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401966" y="1375184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17</xdr:col>
      <xdr:colOff>242679</xdr:colOff>
      <xdr:row>7</xdr:row>
      <xdr:rowOff>51209</xdr:rowOff>
    </xdr:from>
    <xdr:to>
      <xdr:col>19</xdr:col>
      <xdr:colOff>107921</xdr:colOff>
      <xdr:row>8</xdr:row>
      <xdr:rowOff>86927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370C8495-CCEA-4912-A084-A8B73A9ED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0708273" y="1384709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6</xdr:col>
      <xdr:colOff>49328</xdr:colOff>
      <xdr:row>10</xdr:row>
      <xdr:rowOff>65880</xdr:rowOff>
    </xdr:from>
    <xdr:to>
      <xdr:col>7</xdr:col>
      <xdr:colOff>521788</xdr:colOff>
      <xdr:row>11</xdr:row>
      <xdr:rowOff>101598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29430BB3-93B3-40F5-8959-4EF5A9416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906953" y="1970880"/>
          <a:ext cx="1079679" cy="2262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7A32A7-52E0-4314-9CE1-6BA8849150C6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99FAC92-ECA2-4379-9182-1CD985C6C4EF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3107617-31DE-4DDE-A9AA-9C15D434C00C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E06BA92-021F-4A2A-A369-105D683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E9DDCC8-309A-49AB-A31A-CE097FAB28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8BD8BD9-AFE4-4DB2-9677-35D90FFFD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31FE35-453D-4C2D-B4F3-DBD56C948F2B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75EA18-C416-4303-8929-7273D687CC9D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1B74D29-E17E-44F8-9FD9-3BD2E22E9B5A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B3583DC-7AF0-401C-850A-D99B45CA2EA4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FF7B20A-24D9-4563-AD4E-F670C613DC8F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68CE2724-7103-43C8-8BDA-0A16ED564D53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787E0DD-21E3-4998-81B1-E81714CBF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4214DE6-ECF5-4FC2-93B1-6AF50BBED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58E98FD-56D6-495B-AA94-84ACA96AD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9E80564-2C0A-437F-B169-43EC97627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69A1890-0842-4E9E-9885-158DABA54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59CF12B-F80B-4557-A69B-1B50CF33E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F72983D-CAF5-434F-B769-2E91A12E6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7A5DB56-3C4F-4BAB-A967-78A8A7E0A7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2382B93-1C48-433D-A6BD-9DD42E881422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51857F6C-4CB0-4811-BA51-8AD14823BD2C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5994B5BD-FE73-409F-9468-4AD9A03CDF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8F3988-9DB3-444B-8295-D8C8AFDABA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A58879EA-BECB-4304-912D-06A883A07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83A841A3-435F-4ECB-B5E9-F06577156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48DA3E8-34DC-4AFC-BFCA-559865A7F42F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607219D-893C-40D1-A666-8BB3B48774AE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189C810F-1A7B-477A-AFB7-C98F114538CB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EF67FFB-83F3-447C-A2A3-22A66EC49A2B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F5F6678A-D7D6-496D-9663-6152AF320A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AE4FF820-104D-4F51-8236-6503679866C8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2E2433D-4D70-42B3-A03B-9DA65627D3D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AF82AA3-9A67-4800-977B-32939B395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95B2475-F8B5-4DB7-89B9-33AA45C82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81AEC901-BA0E-44A0-9C6E-052069986E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B246173-BAB2-4D5F-A0EE-EB59D29BB1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1CDFC84-BEEF-42A6-9FE9-2273703629F3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1F8E4BEF-4879-4F4E-92C5-D01373DB02C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89009933-95DA-48CE-BBDA-502D6D6C98CF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6322D736-CA77-459E-A27A-8235446D2746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1B65C5DF-43E8-4442-9B89-78D0D7461D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BB0B6DE-6DD7-4BF4-B68A-D09EF014BCF9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BFF1D2D6-98B8-46AA-9524-D0BE273AACE3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1F7E7A5E-7C00-4150-BFE7-BF87068DE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8619C02D-44E8-4BD0-8393-814D8E8A05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82F71DA1-4DC6-46B3-A261-E11F2F07F4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73E5F300-6C0B-4043-9FB1-8338F0582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2C2E600D-0427-4C9B-8284-6248A2A3FB00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9262005E-DE1E-4DD1-98A6-5A6FF8190D3B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B99FAA70-518D-4459-9266-90E9C533DEC2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E7B99E15-1D24-4597-9954-064C432E6F94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180D7087-2C92-4014-A899-4B4C566B64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CAF93B9-C1BA-4B6F-9E79-0D1B48D6D947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74E208BF-3511-416F-8FEB-B05C1D96AD26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A009DF2B-2162-45F7-82F9-A19AA39B8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AD8B0A4E-86B2-4610-8856-B32160BB90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F86E848F-BE6A-4610-964D-4FB127D2AD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26CE3FD9-BD0D-4236-AD28-C7779921C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727F2BCB-B41C-44D3-8CDA-4D3165EC7A4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64A442E2-6B5A-4DC1-9B13-A7E73AEDFA4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E4F9862C-F4BC-4DA4-B13E-F95FE2379A05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73FB2EA3-2814-41F8-AAEE-E5436E6D0600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284AE813-B0E4-4E7D-A8DF-B0D29EEEFE0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911395CE-67AE-4C45-985C-097E863FD34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8315D204-F4A7-4A8F-ACEF-F058C7031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8C7C5E8-F2A9-4A0D-BA6F-133A5A23A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697FB7AD-5975-4ACA-84B9-EE002B3C13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FBBD741E-9662-49ED-9DCD-59D34606A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0161837-DDD1-4095-A45C-B59DE14A518B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D225CE8-3EBD-4184-A620-172100CC8DF7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4DE6D74F-3744-4ED8-BAFA-C7BC9A53DECF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D13B6AE-5CBE-4975-8620-68745C3EB117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19EAD7D0-006F-4BB4-AE21-42B332CDC0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27D9EC2A-B6E1-4F2B-BC25-4BB53AB43540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CE8C0335-2BC3-480E-9C86-12D332173354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B6DF0A37-F5D6-4695-8D4E-38A2B4DA5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1154F61E-1CF9-4A91-8627-51814CFD1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88A8DAA-9C37-40D0-B6F0-8CE38BB34B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7B54081F-A6D8-42D9-B20D-271819998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61385F91-3762-4F90-9525-674C11BA0479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E30DF4B-6881-43C8-B12B-B4FDA18847B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E21FA8E2-E1A7-40EB-90A6-A572CBD80AE9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E32348F7-C99C-4C9F-8E59-CAA58C49DA81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59689A59-D322-4FCC-9ADE-6CA1B57A3C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35B11DB4-E54A-4BDF-A9B1-42FEE669E66F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4D79CA3-8674-45C9-A8A0-4192D8CC7CEE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A154C3EA-1572-43F3-B06F-7271FB280A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B12C1659-C6F6-494D-9E1B-331213E18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9A254347-2AF2-4ED1-AD0D-249663CD58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AD1F8492-9054-46DB-8175-904606752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A690CE6E-17C7-4A76-8AE0-2EFA9787FC21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334E03DB-BF42-4F2B-9ECA-065A52636E2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A4F370B0-96BC-469C-99AF-29986AEA10C5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4315406-27E7-4160-92CC-C37B47C8B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3DAB11A0-6249-4C87-8ED9-AE4A1BCE5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E922B235-15C5-4A93-8BCA-9C4EE741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6EE9E2CD-B800-44FD-A430-A6DECB59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4576EA42-EA25-4827-8571-BBCCE397B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2D877A1C-5217-4A27-A473-4F2372696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955D8BC5-533A-4F6D-B722-C0584FDE9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94A8B36D-62E4-4532-8DBB-2D9831327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46554A4E-C334-480C-B1A0-4CCB04D3E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A33F76B1-CD45-494E-9089-9E3EA7BAB3F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37E7D4E3-CA16-4BE4-A0CE-16560E31F70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B10DA06E-4233-4062-98D6-9A9451E66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E89E6CAA-BA8C-4FAE-9490-E5B4CA0C41B5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F3452D6F-A05C-4F67-9CF7-BC05FD422EB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10475F5B-93DB-4627-91A9-AE7A36E548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1E4EDCC1-4685-4012-8CE1-5D6845440035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2B45772B-0276-4415-A84C-B77591E9F4F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E2C68305-E6F0-4102-854E-F49131A1A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C30C33E6-94D3-4739-B102-6BFA51171138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45A2D321-B7D7-438A-915D-D4F33E652D0E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95136F4-EB30-45DF-BD35-B3397DC4B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80B0289-75D5-4FF4-993A-92C0AFB702F1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ECE11243-FF75-4869-98AD-F92B494FE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5D869A38-A450-47DF-BE00-6DE007516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43850993-5A5A-4BE2-A9EF-7B0FC4B6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7E3D78B7-2CB9-44B8-B7EC-42E7998C7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6C6015BA-0584-435D-9B86-D6A19C095743}"/>
            </a:ext>
          </a:extLst>
        </xdr:cNvPr>
        <xdr:cNvSpPr/>
      </xdr:nvSpPr>
      <xdr:spPr>
        <a:xfrm>
          <a:off x="70757" y="5558518"/>
          <a:ext cx="6615794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4C0E77B2-8262-48CC-AF7B-EDBAC2297371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428625</xdr:colOff>
      <xdr:row>9</xdr:row>
      <xdr:rowOff>35719</xdr:rowOff>
    </xdr:from>
    <xdr:to>
      <xdr:col>20</xdr:col>
      <xdr:colOff>276499</xdr:colOff>
      <xdr:row>10</xdr:row>
      <xdr:rowOff>33337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E8B1FC69-1C28-4572-A785-A93DFEF5D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501438" y="1750219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285750</xdr:colOff>
      <xdr:row>12</xdr:row>
      <xdr:rowOff>95250</xdr:rowOff>
    </xdr:from>
    <xdr:to>
      <xdr:col>9</xdr:col>
      <xdr:colOff>133624</xdr:colOff>
      <xdr:row>13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E69A2BA8-E41F-4643-90AD-2564A4ADE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50594" y="23812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29</xdr:col>
      <xdr:colOff>402432</xdr:colOff>
      <xdr:row>9</xdr:row>
      <xdr:rowOff>9525</xdr:rowOff>
    </xdr:from>
    <xdr:to>
      <xdr:col>31</xdr:col>
      <xdr:colOff>250306</xdr:colOff>
      <xdr:row>10</xdr:row>
      <xdr:rowOff>7143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C0B387B3-CAAC-4094-81F2-622F0F9D9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8154651" y="1724025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40</xdr:col>
      <xdr:colOff>435770</xdr:colOff>
      <xdr:row>9</xdr:row>
      <xdr:rowOff>19050</xdr:rowOff>
    </xdr:from>
    <xdr:to>
      <xdr:col>42</xdr:col>
      <xdr:colOff>283643</xdr:colOff>
      <xdr:row>10</xdr:row>
      <xdr:rowOff>16668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B37A52FC-FD14-45E2-AA42-D01B0B872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867395" y="17335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51</xdr:col>
      <xdr:colOff>421483</xdr:colOff>
      <xdr:row>9</xdr:row>
      <xdr:rowOff>16668</xdr:rowOff>
    </xdr:from>
    <xdr:to>
      <xdr:col>53</xdr:col>
      <xdr:colOff>269356</xdr:colOff>
      <xdr:row>10</xdr:row>
      <xdr:rowOff>14286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FF4312C4-C5AA-4C24-9E3A-5581078B1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1532514" y="1731168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190498</xdr:rowOff>
    </xdr:from>
    <xdr:to>
      <xdr:col>9</xdr:col>
      <xdr:colOff>392907</xdr:colOff>
      <xdr:row>16</xdr:row>
      <xdr:rowOff>5606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BFB320A0-FD0C-4829-9A4C-A27ABB97C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7219" y="1904998"/>
          <a:ext cx="5464969" cy="1160514"/>
        </a:xfrm>
        <a:prstGeom prst="rect">
          <a:avLst/>
        </a:prstGeom>
      </xdr:spPr>
    </xdr:pic>
    <xdr:clientData/>
  </xdr:twoCellAnchor>
  <xdr:twoCellAnchor editAs="oneCell">
    <xdr:from>
      <xdr:col>12</xdr:col>
      <xdr:colOff>110469</xdr:colOff>
      <xdr:row>7</xdr:row>
      <xdr:rowOff>121406</xdr:rowOff>
    </xdr:from>
    <xdr:to>
      <xdr:col>20</xdr:col>
      <xdr:colOff>44463</xdr:colOff>
      <xdr:row>10</xdr:row>
      <xdr:rowOff>121486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19EBBD85-CFD4-458E-A9B2-5C14090EE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39969" y="1454906"/>
          <a:ext cx="4791744" cy="571580"/>
        </a:xfrm>
        <a:prstGeom prst="rect">
          <a:avLst/>
        </a:prstGeom>
      </xdr:spPr>
    </xdr:pic>
    <xdr:clientData/>
  </xdr:twoCellAnchor>
  <xdr:twoCellAnchor editAs="oneCell">
    <xdr:from>
      <xdr:col>23</xdr:col>
      <xdr:colOff>181907</xdr:colOff>
      <xdr:row>7</xdr:row>
      <xdr:rowOff>121406</xdr:rowOff>
    </xdr:from>
    <xdr:to>
      <xdr:col>31</xdr:col>
      <xdr:colOff>115901</xdr:colOff>
      <xdr:row>10</xdr:row>
      <xdr:rowOff>121486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0ADF201E-407F-4748-938A-9CAE4630A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290813" y="1454906"/>
          <a:ext cx="4791744" cy="571580"/>
        </a:xfrm>
        <a:prstGeom prst="rect">
          <a:avLst/>
        </a:prstGeom>
      </xdr:spPr>
    </xdr:pic>
    <xdr:clientData/>
  </xdr:twoCellAnchor>
  <xdr:twoCellAnchor editAs="oneCell">
    <xdr:from>
      <xdr:col>34</xdr:col>
      <xdr:colOff>203338</xdr:colOff>
      <xdr:row>7</xdr:row>
      <xdr:rowOff>107119</xdr:rowOff>
    </xdr:from>
    <xdr:to>
      <xdr:col>42</xdr:col>
      <xdr:colOff>137332</xdr:colOff>
      <xdr:row>10</xdr:row>
      <xdr:rowOff>107199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D87E962C-35F1-4666-A329-35CE1EE12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991651" y="1440619"/>
          <a:ext cx="4791744" cy="571580"/>
        </a:xfrm>
        <a:prstGeom prst="rect">
          <a:avLst/>
        </a:prstGeom>
      </xdr:spPr>
    </xdr:pic>
    <xdr:clientData/>
  </xdr:twoCellAnchor>
  <xdr:twoCellAnchor editAs="oneCell">
    <xdr:from>
      <xdr:col>45</xdr:col>
      <xdr:colOff>236676</xdr:colOff>
      <xdr:row>7</xdr:row>
      <xdr:rowOff>104738</xdr:rowOff>
    </xdr:from>
    <xdr:to>
      <xdr:col>53</xdr:col>
      <xdr:colOff>170670</xdr:colOff>
      <xdr:row>10</xdr:row>
      <xdr:rowOff>104818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67D7F887-8CBD-455B-A2C7-4EC112DF4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7704395" y="1438238"/>
          <a:ext cx="4791744" cy="571580"/>
        </a:xfrm>
        <a:prstGeom prst="rect">
          <a:avLst/>
        </a:prstGeom>
      </xdr:spPr>
    </xdr:pic>
    <xdr:clientData/>
  </xdr:twoCellAnchor>
  <xdr:twoCellAnchor editAs="oneCell">
    <xdr:from>
      <xdr:col>50</xdr:col>
      <xdr:colOff>190500</xdr:colOff>
      <xdr:row>7</xdr:row>
      <xdr:rowOff>47625</xdr:rowOff>
    </xdr:from>
    <xdr:to>
      <xdr:col>52</xdr:col>
      <xdr:colOff>55742</xdr:colOff>
      <xdr:row>8</xdr:row>
      <xdr:rowOff>83343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38420CAB-76AD-4BCA-A9B7-FA283F06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0694313" y="1381125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39</xdr:col>
      <xdr:colOff>164307</xdr:colOff>
      <xdr:row>7</xdr:row>
      <xdr:rowOff>45244</xdr:rowOff>
    </xdr:from>
    <xdr:to>
      <xdr:col>41</xdr:col>
      <xdr:colOff>29548</xdr:colOff>
      <xdr:row>8</xdr:row>
      <xdr:rowOff>80962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4527F53C-69CA-4A5F-9945-725B5F05C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988713" y="1378744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28</xdr:col>
      <xdr:colOff>138114</xdr:colOff>
      <xdr:row>7</xdr:row>
      <xdr:rowOff>54769</xdr:rowOff>
    </xdr:from>
    <xdr:to>
      <xdr:col>30</xdr:col>
      <xdr:colOff>3355</xdr:colOff>
      <xdr:row>8</xdr:row>
      <xdr:rowOff>90487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33C82262-5B79-4E57-8255-720993428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283114" y="1388269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17</xdr:col>
      <xdr:colOff>98562</xdr:colOff>
      <xdr:row>7</xdr:row>
      <xdr:rowOff>61875</xdr:rowOff>
    </xdr:from>
    <xdr:to>
      <xdr:col>18</xdr:col>
      <xdr:colOff>571022</xdr:colOff>
      <xdr:row>8</xdr:row>
      <xdr:rowOff>97593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BA9C1377-5F3E-49F3-8362-F8B77FFA2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564156" y="1395375"/>
          <a:ext cx="1079679" cy="226218"/>
        </a:xfrm>
        <a:prstGeom prst="rect">
          <a:avLst/>
        </a:prstGeom>
      </xdr:spPr>
    </xdr:pic>
    <xdr:clientData/>
  </xdr:twoCellAnchor>
  <xdr:twoCellAnchor editAs="oneCell">
    <xdr:from>
      <xdr:col>6</xdr:col>
      <xdr:colOff>83344</xdr:colOff>
      <xdr:row>10</xdr:row>
      <xdr:rowOff>59530</xdr:rowOff>
    </xdr:from>
    <xdr:to>
      <xdr:col>7</xdr:col>
      <xdr:colOff>555804</xdr:colOff>
      <xdr:row>11</xdr:row>
      <xdr:rowOff>95248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B48CA729-2D15-4AEB-9130-2631FA6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940969" y="1964530"/>
          <a:ext cx="1079679" cy="2262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34C0-88C8-4158-9798-85D38F9F1759}">
  <sheetPr codeName="Sheet1"/>
  <dimension ref="A1:BC53"/>
  <sheetViews>
    <sheetView showGridLines="0" tabSelected="1" view="pageBreakPreview" zoomScale="80" zoomScaleNormal="60" zoomScaleSheetLayoutView="80" zoomScalePageLayoutView="70" workbookViewId="0">
      <selection activeCell="Q21" sqref="Q21:U21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3"/>
      <c r="N9" s="23"/>
      <c r="O9" s="23"/>
      <c r="P9" s="3"/>
      <c r="Q9" s="23"/>
      <c r="R9" s="23"/>
      <c r="S9" s="23"/>
      <c r="T9" s="23"/>
      <c r="U9" s="23"/>
      <c r="V9" s="1"/>
      <c r="W9" s="1"/>
      <c r="X9" s="5"/>
      <c r="Y9" s="23"/>
      <c r="Z9" s="23"/>
      <c r="AA9" s="5"/>
      <c r="AB9" s="23"/>
      <c r="AC9" s="23"/>
      <c r="AD9" s="23"/>
      <c r="AE9" s="23"/>
      <c r="AF9" s="23"/>
      <c r="AG9" s="1"/>
      <c r="AH9" s="1"/>
      <c r="AI9" s="5"/>
      <c r="AJ9" s="23"/>
      <c r="AK9" s="23"/>
      <c r="AL9" s="5"/>
      <c r="AM9" s="23"/>
      <c r="AN9" s="23"/>
      <c r="AO9" s="23"/>
      <c r="AP9" s="23"/>
      <c r="AQ9" s="23"/>
      <c r="AR9" s="1"/>
      <c r="AS9" s="1"/>
      <c r="AT9" s="5"/>
      <c r="AU9" s="23"/>
      <c r="AV9" s="23"/>
      <c r="AW9" s="5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30</v>
      </c>
      <c r="O14" s="20"/>
      <c r="P14" s="16">
        <v>1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1</v>
      </c>
      <c r="N15" s="19"/>
      <c r="O15" s="20"/>
      <c r="P15" s="17"/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/>
      <c r="Z16" s="20"/>
      <c r="AA16" s="17"/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0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/>
      <c r="AK18" s="20"/>
      <c r="AL18" s="17"/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/>
      <c r="O19" s="20"/>
      <c r="P19" s="17"/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table_1'!G6:J14)</f>
        <v>0</v>
      </c>
      <c r="I23" s="9" t="e">
        <f ca="1">H23/$I$18</f>
        <v>#DIV/0!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table_1'!G5:J5)</f>
        <v>0</v>
      </c>
      <c r="I24" s="11" t="e">
        <f ca="1">H24/$I$18</f>
        <v>#DIV/0!</v>
      </c>
      <c r="J24" s="7"/>
      <c r="K24" s="1"/>
      <c r="L24" s="1"/>
      <c r="M24" s="15"/>
      <c r="N24" s="19"/>
      <c r="O24" s="20"/>
      <c r="P24" s="17"/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table_1'!G15:J17)</f>
        <v>0</v>
      </c>
      <c r="I25" s="13" t="e">
        <f ca="1">H25/$I$18</f>
        <v>#DIV/0!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table_1'!G19:J19)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table_1'!G20:J20)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table_1'!G21:J21)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table_1'!G22:J22)</f>
        <v>0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ESeJYnq8acpmKAkagUAOiVjeZSjphUsbrgxyjXBguvdMR9avMTQrQF6zu92jChylbfIEGScQnA9kwn45HwIGHw==" saltValue="jMNCkURF0ckTdxl2jzU3SA==" spinCount="100000" sheet="1" objects="1" scenarios="1" selectLockedCells="1"/>
  <mergeCells count="307">
    <mergeCell ref="AJ49:AK49"/>
    <mergeCell ref="AM49:AQ49"/>
    <mergeCell ref="AJ50:AK50"/>
    <mergeCell ref="AM50:AQ50"/>
    <mergeCell ref="AJ46:AK46"/>
    <mergeCell ref="AM46:AQ46"/>
    <mergeCell ref="AJ47:AK47"/>
    <mergeCell ref="AM47:AQ47"/>
    <mergeCell ref="AJ48:AK48"/>
    <mergeCell ref="AM48:AQ48"/>
    <mergeCell ref="AJ43:AK43"/>
    <mergeCell ref="AM43:AQ43"/>
    <mergeCell ref="AJ44:AK44"/>
    <mergeCell ref="AM44:AQ44"/>
    <mergeCell ref="AJ45:AK45"/>
    <mergeCell ref="AM45:AQ45"/>
    <mergeCell ref="AJ40:AK40"/>
    <mergeCell ref="AM40:AQ40"/>
    <mergeCell ref="AJ41:AK41"/>
    <mergeCell ref="AM41:AQ41"/>
    <mergeCell ref="AJ42:AK42"/>
    <mergeCell ref="AM42:AQ42"/>
    <mergeCell ref="AJ37:AK37"/>
    <mergeCell ref="AM37:AQ37"/>
    <mergeCell ref="AJ38:AK38"/>
    <mergeCell ref="AM38:AQ38"/>
    <mergeCell ref="AJ39:AK39"/>
    <mergeCell ref="AM39:AQ39"/>
    <mergeCell ref="AJ34:AK34"/>
    <mergeCell ref="AM34:AQ34"/>
    <mergeCell ref="AJ35:AK35"/>
    <mergeCell ref="AM35:AQ35"/>
    <mergeCell ref="AJ36:AK36"/>
    <mergeCell ref="AM36:AQ36"/>
    <mergeCell ref="AJ31:AK31"/>
    <mergeCell ref="AM31:AQ31"/>
    <mergeCell ref="AJ32:AK32"/>
    <mergeCell ref="AM32:AQ32"/>
    <mergeCell ref="AJ33:AK33"/>
    <mergeCell ref="AM33:AQ33"/>
    <mergeCell ref="AJ28:AK28"/>
    <mergeCell ref="AM28:AQ28"/>
    <mergeCell ref="AJ29:AK29"/>
    <mergeCell ref="AM29:AQ29"/>
    <mergeCell ref="AJ30:AK30"/>
    <mergeCell ref="AM30:AQ30"/>
    <mergeCell ref="AJ25:AK25"/>
    <mergeCell ref="AM25:AQ25"/>
    <mergeCell ref="AJ26:AK26"/>
    <mergeCell ref="AM26:AQ26"/>
    <mergeCell ref="AJ27:AK27"/>
    <mergeCell ref="AM27:AQ27"/>
    <mergeCell ref="AJ22:AK22"/>
    <mergeCell ref="AM22:AQ22"/>
    <mergeCell ref="AJ23:AK23"/>
    <mergeCell ref="AM23:AQ23"/>
    <mergeCell ref="AJ24:AK24"/>
    <mergeCell ref="AM24:AQ24"/>
    <mergeCell ref="AJ19:AK19"/>
    <mergeCell ref="AM19:AQ19"/>
    <mergeCell ref="AJ20:AK20"/>
    <mergeCell ref="AM20:AQ20"/>
    <mergeCell ref="AJ21:AK21"/>
    <mergeCell ref="AM21:AQ21"/>
    <mergeCell ref="AJ16:AK16"/>
    <mergeCell ref="AM16:AQ16"/>
    <mergeCell ref="AJ17:AK17"/>
    <mergeCell ref="AM17:AQ17"/>
    <mergeCell ref="AJ18:AK18"/>
    <mergeCell ref="AM18:AQ18"/>
    <mergeCell ref="AJ9:AK9"/>
    <mergeCell ref="AM9:AQ9"/>
    <mergeCell ref="AJ14:AK14"/>
    <mergeCell ref="AM14:AQ14"/>
    <mergeCell ref="AJ15:AK15"/>
    <mergeCell ref="AM15:AQ15"/>
    <mergeCell ref="Y49:Z49"/>
    <mergeCell ref="AB49:AF49"/>
    <mergeCell ref="Y50:Z50"/>
    <mergeCell ref="AB50:AF50"/>
    <mergeCell ref="Y40:Z40"/>
    <mergeCell ref="AB40:AF40"/>
    <mergeCell ref="Y41:Z41"/>
    <mergeCell ref="AB41:AF41"/>
    <mergeCell ref="Y42:Z42"/>
    <mergeCell ref="AB42:AF42"/>
    <mergeCell ref="Y37:Z37"/>
    <mergeCell ref="AB37:AF37"/>
    <mergeCell ref="Y38:Z38"/>
    <mergeCell ref="AB38:AF38"/>
    <mergeCell ref="Y39:Z39"/>
    <mergeCell ref="AB39:AF39"/>
    <mergeCell ref="Y34:Z34"/>
    <mergeCell ref="AB34:AF34"/>
    <mergeCell ref="Y46:Z46"/>
    <mergeCell ref="AB46:AF46"/>
    <mergeCell ref="Y47:Z47"/>
    <mergeCell ref="AB47:AF47"/>
    <mergeCell ref="Y48:Z48"/>
    <mergeCell ref="AB48:AF48"/>
    <mergeCell ref="Y43:Z43"/>
    <mergeCell ref="AB43:AF43"/>
    <mergeCell ref="Y44:Z44"/>
    <mergeCell ref="AB44:AF44"/>
    <mergeCell ref="Y45:Z45"/>
    <mergeCell ref="AB45:AF45"/>
    <mergeCell ref="Y35:Z35"/>
    <mergeCell ref="AB35:AF35"/>
    <mergeCell ref="Y36:Z36"/>
    <mergeCell ref="AB36:AF36"/>
    <mergeCell ref="Y31:Z31"/>
    <mergeCell ref="AB31:AF31"/>
    <mergeCell ref="Y32:Z32"/>
    <mergeCell ref="AB32:AF32"/>
    <mergeCell ref="Y33:Z33"/>
    <mergeCell ref="AB33:AF33"/>
    <mergeCell ref="Y28:Z28"/>
    <mergeCell ref="AB28:AF28"/>
    <mergeCell ref="Y29:Z29"/>
    <mergeCell ref="AB29:AF29"/>
    <mergeCell ref="Y30:Z30"/>
    <mergeCell ref="AB30:AF30"/>
    <mergeCell ref="Y25:Z25"/>
    <mergeCell ref="AB25:AF25"/>
    <mergeCell ref="Y26:Z26"/>
    <mergeCell ref="AB26:AF26"/>
    <mergeCell ref="Y27:Z27"/>
    <mergeCell ref="AB27:AF27"/>
    <mergeCell ref="Y22:Z22"/>
    <mergeCell ref="AB22:AF22"/>
    <mergeCell ref="Y23:Z23"/>
    <mergeCell ref="AB23:AF23"/>
    <mergeCell ref="Y24:Z24"/>
    <mergeCell ref="AB24:AF24"/>
    <mergeCell ref="Y19:Z19"/>
    <mergeCell ref="AB19:AF19"/>
    <mergeCell ref="Y20:Z20"/>
    <mergeCell ref="AB20:AF20"/>
    <mergeCell ref="Y21:Z21"/>
    <mergeCell ref="AB21:AF21"/>
    <mergeCell ref="Y16:Z16"/>
    <mergeCell ref="AB16:AF16"/>
    <mergeCell ref="Y17:Z17"/>
    <mergeCell ref="AB17:AF17"/>
    <mergeCell ref="Y18:Z18"/>
    <mergeCell ref="AB18:AF18"/>
    <mergeCell ref="Y9:Z9"/>
    <mergeCell ref="AB9:AF9"/>
    <mergeCell ref="Y14:Z14"/>
    <mergeCell ref="AB14:AF14"/>
    <mergeCell ref="Y15:Z15"/>
    <mergeCell ref="AB15:AF15"/>
    <mergeCell ref="N38:O38"/>
    <mergeCell ref="Q38:U38"/>
    <mergeCell ref="N50:O50"/>
    <mergeCell ref="Q50:U50"/>
    <mergeCell ref="N44:O44"/>
    <mergeCell ref="Q44:U44"/>
    <mergeCell ref="N39:O39"/>
    <mergeCell ref="Q39:U39"/>
    <mergeCell ref="N40:O40"/>
    <mergeCell ref="Q40:U40"/>
    <mergeCell ref="N41:O41"/>
    <mergeCell ref="Q41:U41"/>
    <mergeCell ref="N45:O45"/>
    <mergeCell ref="Q45:U45"/>
    <mergeCell ref="N46:O46"/>
    <mergeCell ref="Q46:U46"/>
    <mergeCell ref="N47:O47"/>
    <mergeCell ref="Q47:U47"/>
    <mergeCell ref="N48:O48"/>
    <mergeCell ref="Q48:U48"/>
    <mergeCell ref="N49:O49"/>
    <mergeCell ref="Q49:U49"/>
    <mergeCell ref="N14:O14"/>
    <mergeCell ref="Q14:U14"/>
    <mergeCell ref="N9:O9"/>
    <mergeCell ref="Q9:U9"/>
    <mergeCell ref="N42:O42"/>
    <mergeCell ref="Q42:U42"/>
    <mergeCell ref="N43:O43"/>
    <mergeCell ref="Q43:U43"/>
    <mergeCell ref="N29:O29"/>
    <mergeCell ref="Q29:U29"/>
    <mergeCell ref="N30:O30"/>
    <mergeCell ref="Q30:U30"/>
    <mergeCell ref="N27:O27"/>
    <mergeCell ref="Q27:U27"/>
    <mergeCell ref="N33:O33"/>
    <mergeCell ref="Q33:U33"/>
    <mergeCell ref="N34:O34"/>
    <mergeCell ref="Q34:U34"/>
    <mergeCell ref="N31:O31"/>
    <mergeCell ref="Q31:U31"/>
    <mergeCell ref="N32:O32"/>
    <mergeCell ref="Q32:U32"/>
    <mergeCell ref="N37:O37"/>
    <mergeCell ref="Q37:U37"/>
    <mergeCell ref="Q25:U25"/>
    <mergeCell ref="N26:O26"/>
    <mergeCell ref="Q26:U26"/>
    <mergeCell ref="C18:D18"/>
    <mergeCell ref="E18:F18"/>
    <mergeCell ref="G18:H18"/>
    <mergeCell ref="N21:O21"/>
    <mergeCell ref="Q21:U21"/>
    <mergeCell ref="N19:O19"/>
    <mergeCell ref="Q19:U19"/>
    <mergeCell ref="N20:O20"/>
    <mergeCell ref="Q20:U20"/>
    <mergeCell ref="N18:O18"/>
    <mergeCell ref="Q18:U18"/>
    <mergeCell ref="N35:O35"/>
    <mergeCell ref="Q35:U35"/>
    <mergeCell ref="N36:O36"/>
    <mergeCell ref="Q36:U36"/>
    <mergeCell ref="N23:O23"/>
    <mergeCell ref="Q23:U23"/>
    <mergeCell ref="N24:O24"/>
    <mergeCell ref="Q24:U24"/>
    <mergeCell ref="AU9:AV9"/>
    <mergeCell ref="AU18:AV18"/>
    <mergeCell ref="AU23:AV23"/>
    <mergeCell ref="AU28:AV28"/>
    <mergeCell ref="AU33:AV33"/>
    <mergeCell ref="N15:O15"/>
    <mergeCell ref="Q15:U15"/>
    <mergeCell ref="N16:O16"/>
    <mergeCell ref="Q16:U16"/>
    <mergeCell ref="N22:O22"/>
    <mergeCell ref="Q22:U22"/>
    <mergeCell ref="N17:O17"/>
    <mergeCell ref="Q17:U17"/>
    <mergeCell ref="N28:O28"/>
    <mergeCell ref="Q28:U28"/>
    <mergeCell ref="N25:O25"/>
    <mergeCell ref="AX9:BB9"/>
    <mergeCell ref="AU14:AV14"/>
    <mergeCell ref="AX14:BB14"/>
    <mergeCell ref="AU15:AV15"/>
    <mergeCell ref="AX15:BB15"/>
    <mergeCell ref="AU16:AV16"/>
    <mergeCell ref="AX16:BB16"/>
    <mergeCell ref="AU17:AV17"/>
    <mergeCell ref="AX17:BB17"/>
    <mergeCell ref="AX18:BB18"/>
    <mergeCell ref="AU19:AV19"/>
    <mergeCell ref="AX19:BB19"/>
    <mergeCell ref="AU20:AV20"/>
    <mergeCell ref="AX20:BB20"/>
    <mergeCell ref="AU21:AV21"/>
    <mergeCell ref="AX21:BB21"/>
    <mergeCell ref="AU22:AV22"/>
    <mergeCell ref="AX22:BB22"/>
    <mergeCell ref="AX23:BB23"/>
    <mergeCell ref="AU24:AV24"/>
    <mergeCell ref="AX24:BB24"/>
    <mergeCell ref="AU25:AV25"/>
    <mergeCell ref="AX25:BB25"/>
    <mergeCell ref="AU26:AV26"/>
    <mergeCell ref="AX26:BB26"/>
    <mergeCell ref="AU27:AV27"/>
    <mergeCell ref="AX27:BB27"/>
    <mergeCell ref="AX28:BB28"/>
    <mergeCell ref="AU29:AV29"/>
    <mergeCell ref="AX29:BB29"/>
    <mergeCell ref="AU30:AV30"/>
    <mergeCell ref="AX30:BB30"/>
    <mergeCell ref="AU31:AV31"/>
    <mergeCell ref="AX31:BB31"/>
    <mergeCell ref="AU32:AV32"/>
    <mergeCell ref="AX32:BB32"/>
    <mergeCell ref="AX33:BB33"/>
    <mergeCell ref="AU34:AV34"/>
    <mergeCell ref="AX34:BB34"/>
    <mergeCell ref="AU35:AV35"/>
    <mergeCell ref="AX35:BB35"/>
    <mergeCell ref="AU36:AV36"/>
    <mergeCell ref="AX36:BB36"/>
    <mergeCell ref="AU37:AV37"/>
    <mergeCell ref="AX37:BB37"/>
    <mergeCell ref="AU38:AV38"/>
    <mergeCell ref="AX38:BB38"/>
    <mergeCell ref="AU39:AV39"/>
    <mergeCell ref="AX39:BB39"/>
    <mergeCell ref="AU40:AV40"/>
    <mergeCell ref="AX40:BB40"/>
    <mergeCell ref="AU41:AV41"/>
    <mergeCell ref="AX41:BB41"/>
    <mergeCell ref="AU42:AV42"/>
    <mergeCell ref="AX42:BB42"/>
    <mergeCell ref="AU48:AV48"/>
    <mergeCell ref="AX48:BB48"/>
    <mergeCell ref="AU49:AV49"/>
    <mergeCell ref="AX49:BB49"/>
    <mergeCell ref="AU50:AV50"/>
    <mergeCell ref="AX50:BB50"/>
    <mergeCell ref="AU43:AV43"/>
    <mergeCell ref="AX43:BB43"/>
    <mergeCell ref="AU44:AV44"/>
    <mergeCell ref="AX44:BB44"/>
    <mergeCell ref="AU45:AV45"/>
    <mergeCell ref="AX45:BB45"/>
    <mergeCell ref="AU46:AV46"/>
    <mergeCell ref="AX46:BB46"/>
    <mergeCell ref="AU47:AV47"/>
    <mergeCell ref="AX47:BB47"/>
  </mergeCells>
  <phoneticPr fontId="1" type="noConversion"/>
  <conditionalFormatting sqref="M14:M50">
    <cfRule type="duplicateValues" dxfId="10" priority="4"/>
  </conditionalFormatting>
  <conditionalFormatting sqref="X14:X50">
    <cfRule type="duplicateValues" dxfId="9" priority="3"/>
  </conditionalFormatting>
  <conditionalFormatting sqref="AI14:AI50">
    <cfRule type="duplicateValues" dxfId="8" priority="2"/>
  </conditionalFormatting>
  <conditionalFormatting sqref="M14:M50 X14:X50 AI14:AI50 AT14:AT50">
    <cfRule type="duplicateValues" dxfId="7" priority="1"/>
  </conditionalFormatting>
  <dataValidations count="1">
    <dataValidation type="list" allowBlank="1" showInputMessage="1" showErrorMessage="1" sqref="AJ10:AK13 N10:O13 AU10:AV13 Y10:Z13" xr:uid="{260E1589-E259-4FA3-98BE-80BCAC2EE83E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CEFC75-6CCB-4DDC-852C-4EC778E94A70}">
          <x14:formula1>
            <xm:f>'Mapping table_1'!$F$5:$F$23</xm:f>
          </x14:formula1>
          <xm:sqref>N14:O50 Y14:Z50 AJ14:AK50 AU14:AV51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ABBF0-3512-435B-B87D-6FF07794CAC3}">
  <sheetPr codeName="Sheet2"/>
  <dimension ref="D3:J23"/>
  <sheetViews>
    <sheetView workbookViewId="0">
      <selection activeCell="F23" sqref="F23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21</v>
      </c>
      <c r="G5" s="2" cm="1">
        <f t="array" aca="1" ref="G5:G23" ca="1">SUMIF('January 2025'!N14:P50,'Mapping table_1'!F5:F23,'January 2025'!P14:P50)</f>
        <v>0</v>
      </c>
      <c r="H5" s="2" cm="1">
        <f t="array" aca="1" ref="H5:H23" ca="1">SUMIF('January 2025'!Y14:AA50,'Mapping table_1'!F5:F23,'January 2025'!AA14:AA50)</f>
        <v>0</v>
      </c>
      <c r="I5" s="2" cm="1">
        <f t="array" aca="1" ref="I5:I23" ca="1">SUMIF('January 2025'!AJ14:AL50,'Mapping table_1'!F5:F23,'January 2025'!AL14:AL50)</f>
        <v>0</v>
      </c>
      <c r="J5" s="2" cm="1">
        <f t="array" aca="1" ref="J5:J23" ca="1">SUMIF('January 2025'!AU14:AW50,'Mapping table_1'!F5:F23,'January 2025'!AW14:AW50)</f>
        <v>0</v>
      </c>
    </row>
    <row r="6" spans="4:10" x14ac:dyDescent="0.25">
      <c r="D6">
        <v>2</v>
      </c>
      <c r="E6" t="s">
        <v>10</v>
      </c>
      <c r="F6" t="s">
        <v>22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10</v>
      </c>
      <c r="F7" t="s">
        <v>23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10</v>
      </c>
      <c r="F8" t="s">
        <v>24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10</v>
      </c>
      <c r="F9" t="s">
        <v>25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10</v>
      </c>
      <c r="F10" t="s">
        <v>26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10</v>
      </c>
      <c r="F11" t="s">
        <v>11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27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28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29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12</v>
      </c>
      <c r="F15" t="s">
        <v>13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12</v>
      </c>
      <c r="F16" t="s">
        <v>14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12</v>
      </c>
      <c r="F17" t="s">
        <v>15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16</v>
      </c>
      <c r="F18" t="s">
        <v>0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16</v>
      </c>
      <c r="F19" t="s">
        <v>1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16</v>
      </c>
      <c r="F20" t="s">
        <v>2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16</v>
      </c>
      <c r="F21" t="s">
        <v>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4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F23" t="s">
        <v>30</v>
      </c>
      <c r="G23">
        <f ca="1"/>
        <v>1</v>
      </c>
      <c r="H23">
        <f ca="1"/>
        <v>0</v>
      </c>
      <c r="I23">
        <f ca="1"/>
        <v>0</v>
      </c>
      <c r="J23">
        <f ca="1"/>
        <v>0</v>
      </c>
    </row>
  </sheetData>
  <mergeCells count="1">
    <mergeCell ref="E3:J3"/>
  </mergeCells>
  <conditionalFormatting sqref="F5:F23">
    <cfRule type="duplicateValues" dxfId="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DC769-4653-48E4-93F8-EAE2AF312C6F}">
  <sheetPr codeName="Sheet3"/>
  <dimension ref="A1:BC53"/>
  <sheetViews>
    <sheetView showGridLines="0" view="pageBreakPreview" topLeftCell="A7" zoomScale="80" zoomScaleNormal="60" zoomScaleSheetLayoutView="80" zoomScalePageLayoutView="70" workbookViewId="0">
      <selection activeCell="N31" sqref="N31:O31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3</v>
      </c>
      <c r="O14" s="20"/>
      <c r="P14" s="16">
        <v>2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2</v>
      </c>
      <c r="N15" s="19" t="s">
        <v>4</v>
      </c>
      <c r="O15" s="20"/>
      <c r="P15" s="17">
        <v>1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0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>
        <v>3</v>
      </c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>
        <v>31</v>
      </c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table_2'!G6:J14)</f>
        <v>0</v>
      </c>
      <c r="I23" s="9" t="e">
        <f ca="1">H23/$I$18</f>
        <v>#DIV/0!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table_2'!G5:J5)</f>
        <v>0</v>
      </c>
      <c r="I24" s="11" t="e">
        <f ca="1">H24/$I$18</f>
        <v>#DIV/0!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table_2'!G15:J17)</f>
        <v>0</v>
      </c>
      <c r="I25" s="13" t="e">
        <f ca="1">H25/$I$18</f>
        <v>#DIV/0!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table_2'!G19:J19)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table_2'!G20:J20)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table_2'!G21:J21)</f>
        <v>2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table_2'!G22:J22)</f>
        <v>10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zmVegPFC384ekzV/o5xhXUPdwYIdYIJolnx7udm7CBtSxFr92q9sC7oALthlwZih315Dz1GGvOhyt7KWiN9Cpg==" saltValue="m9d4Lowosr0Y7DuzK92Vpw==" spinCount="100000" sheet="1" objects="1" scenarios="1" selectLockedCells="1"/>
  <mergeCells count="307"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</mergeCells>
  <conditionalFormatting sqref="M14:M50 X14:X51 AI14:AI50 AT14:AT50">
    <cfRule type="duplicateValues" dxfId="5" priority="1"/>
  </conditionalFormatting>
  <dataValidations count="1">
    <dataValidation type="list" allowBlank="1" showInputMessage="1" showErrorMessage="1" sqref="AJ10:AK13 N10:O13 AU10:AV13 Y10:Z13" xr:uid="{554E1056-EE0B-4D5C-BFAB-3CE981BD9B9B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B9B350-8807-409A-85AE-3ADF7CBAC6F5}">
          <x14:formula1>
            <xm:f>'Mapping table_1'!$F$5:$F$23</xm:f>
          </x14:formula1>
          <xm:sqref>AU14:AV50 N14:O50 Y14:Z50 AJ14:AK50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24A5A-8B49-4244-B79A-AD5C10CE3D18}">
  <sheetPr codeName="Sheet5"/>
  <dimension ref="D3:J23"/>
  <sheetViews>
    <sheetView workbookViewId="0">
      <selection activeCell="F23" sqref="F23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21</v>
      </c>
      <c r="G5" s="2" cm="1">
        <f t="array" aca="1" ref="G5:G23" ca="1">SUMIF('February 2025'!N14:P50,'Mapping table_2'!F5:F23,'February 2025'!P14:P50)</f>
        <v>0</v>
      </c>
      <c r="H5" s="2" cm="1">
        <f t="array" aca="1" ref="H5:H23" ca="1">SUMIF('February 2025'!Y14:AA50,'Mapping table_2'!F5:F23,'February 2025'!AA14:AA50)</f>
        <v>0</v>
      </c>
      <c r="I5" s="2" cm="1">
        <f t="array" aca="1" ref="I5:I23" ca="1">SUMIF('February 2025'!AJ14:AL50,'Mapping table_2'!F5:F23,'February 2025'!AL14:AL50)</f>
        <v>0</v>
      </c>
      <c r="J5" s="2" cm="1">
        <f t="array" aca="1" ref="J5:J23" ca="1">SUMIF('February 2025'!AU14:AW50,'Mapping table_2'!F5:F23,'February 2025'!AW14:AW50)</f>
        <v>0</v>
      </c>
    </row>
    <row r="6" spans="4:10" x14ac:dyDescent="0.25">
      <c r="D6">
        <v>2</v>
      </c>
      <c r="E6" t="s">
        <v>10</v>
      </c>
      <c r="F6" t="s">
        <v>22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10</v>
      </c>
      <c r="F7" t="s">
        <v>23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10</v>
      </c>
      <c r="F8" t="s">
        <v>24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10</v>
      </c>
      <c r="F9" t="s">
        <v>25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10</v>
      </c>
      <c r="F10" t="s">
        <v>26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10</v>
      </c>
      <c r="F11" t="s">
        <v>11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27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28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29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12</v>
      </c>
      <c r="F15" t="s">
        <v>13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12</v>
      </c>
      <c r="F16" t="s">
        <v>14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12</v>
      </c>
      <c r="F17" t="s">
        <v>15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16</v>
      </c>
      <c r="F18" t="s">
        <v>0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16</v>
      </c>
      <c r="F19" t="s">
        <v>1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16</v>
      </c>
      <c r="F20" t="s">
        <v>2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16</v>
      </c>
      <c r="F21" t="s">
        <v>3</v>
      </c>
      <c r="G21" s="2">
        <f ca="1"/>
        <v>2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4</v>
      </c>
      <c r="G22" s="2">
        <f ca="1"/>
        <v>6</v>
      </c>
      <c r="H22" s="2">
        <f ca="1"/>
        <v>2</v>
      </c>
      <c r="I22" s="2">
        <f ca="1"/>
        <v>2</v>
      </c>
      <c r="J22" s="2">
        <f ca="1"/>
        <v>0</v>
      </c>
    </row>
    <row r="23" spans="4:10" x14ac:dyDescent="0.25">
      <c r="F23" t="s">
        <v>30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</row>
  </sheetData>
  <mergeCells count="1">
    <mergeCell ref="E3:J3"/>
  </mergeCells>
  <conditionalFormatting sqref="F5:F22">
    <cfRule type="duplicateValues" dxfId="4" priority="2"/>
  </conditionalFormatting>
  <conditionalFormatting sqref="F23">
    <cfRule type="duplicateValues" dxfId="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2DFD-6041-425F-87A2-43FDD33AAD22}">
  <sheetPr codeName="Sheet4"/>
  <dimension ref="A1:BC53"/>
  <sheetViews>
    <sheetView showGridLines="0" view="pageBreakPreview" topLeftCell="R6" zoomScale="80" zoomScaleNormal="60" zoomScaleSheetLayoutView="80" zoomScalePageLayoutView="70" workbookViewId="0">
      <selection activeCell="AU35" sqref="AU35:AV35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/>
      <c r="N14" s="19" t="s">
        <v>13</v>
      </c>
      <c r="O14" s="20"/>
      <c r="P14" s="16">
        <v>3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/>
      <c r="N15" s="19" t="s">
        <v>4</v>
      </c>
      <c r="O15" s="20"/>
      <c r="P15" s="17">
        <v>2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3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table_3'!G6:J14)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table_3'!G5:J5)</f>
        <v>0</v>
      </c>
      <c r="I24" s="11">
        <f ca="1">H24/$I$18</f>
        <v>0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table_3'!G15:J17)</f>
        <v>3</v>
      </c>
      <c r="I25" s="13">
        <f ca="1">H25/$I$18</f>
        <v>1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table_3'!G19:J19)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table_3'!G20:J20)</f>
        <v>0</v>
      </c>
      <c r="I27" s="7"/>
      <c r="J27" s="7"/>
      <c r="K27" s="1"/>
      <c r="L27" s="1"/>
      <c r="M27" s="15">
        <v>1</v>
      </c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table_3'!G21:J21)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table_3'!G22:J22)</f>
        <v>11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>
        <v>1</v>
      </c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ERf88V4XcL2+ZDwacpGLcGXF27AqoApn2juHF8cNupOuskF1i9hurDCnZRYVT7DIMpKXsOAx+5vYWOu3vGYQZw==" saltValue="fc2cKZYJ3FPciH5tEtv69A==" spinCount="100000" sheet="1" objects="1" scenarios="1" selectLockedCells="1"/>
  <mergeCells count="307"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</mergeCells>
  <conditionalFormatting sqref="M14:M50 X14:X50 AI14:AI50 AT14:AT51">
    <cfRule type="duplicateValues" dxfId="2" priority="1"/>
  </conditionalFormatting>
  <dataValidations count="1">
    <dataValidation type="list" allowBlank="1" showInputMessage="1" showErrorMessage="1" sqref="AJ10:AK13 N10:O13 AU10:AV13 Y10:Z13" xr:uid="{70140DEE-A34A-4A57-9DCF-7654B2797BEA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374A21-AC78-4EB0-BA1A-E698D2EE5DC0}">
          <x14:formula1>
            <xm:f>'Mapping table_1'!$F$5:$F$23</xm:f>
          </x14:formula1>
          <xm:sqref>N14:O50 Y14:Z50 AJ14:AK50 AU14:AV51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31FB4-7C96-4725-BF79-3D86442C355F}">
  <sheetPr codeName="Sheet6"/>
  <dimension ref="D3:J23"/>
  <sheetViews>
    <sheetView workbookViewId="0">
      <selection activeCell="H28" sqref="H28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21</v>
      </c>
      <c r="G5" s="2" cm="1">
        <f t="array" aca="1" ref="G5:G23" ca="1">SUMIF('March 2025'!N14:P50,'Mapping table_3'!F5:F23,'March 2025'!P14:P50)</f>
        <v>0</v>
      </c>
      <c r="H5" s="2" cm="1">
        <f t="array" aca="1" ref="H5:H23" ca="1">SUMIF('March 2025'!Y14:AA50,'Mapping table_3'!F5:F23,'March 2025'!AA14:AA50)</f>
        <v>0</v>
      </c>
      <c r="I5" s="2" cm="1">
        <f t="array" aca="1" ref="I5:I23" ca="1">SUMIF('March 2025'!AJ14:AL50,'Mapping table_3'!F5:F23,'March 2025'!AL14:AL50)</f>
        <v>0</v>
      </c>
      <c r="J5" s="2" cm="1">
        <f t="array" aca="1" ref="J5:J23" ca="1">SUMIF('March 2025'!AU14:AW50,'Mapping table_3'!F5:F23,'March 2025'!AW14:AW50)</f>
        <v>0</v>
      </c>
    </row>
    <row r="6" spans="4:10" x14ac:dyDescent="0.25">
      <c r="D6">
        <v>2</v>
      </c>
      <c r="E6" t="s">
        <v>10</v>
      </c>
      <c r="F6" t="s">
        <v>22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10</v>
      </c>
      <c r="F7" t="s">
        <v>23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10</v>
      </c>
      <c r="F8" t="s">
        <v>24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10</v>
      </c>
      <c r="F9" t="s">
        <v>25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10</v>
      </c>
      <c r="F10" t="s">
        <v>26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10</v>
      </c>
      <c r="F11" t="s">
        <v>11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27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28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29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12</v>
      </c>
      <c r="F15" t="s">
        <v>13</v>
      </c>
      <c r="G15" s="2">
        <f ca="1"/>
        <v>3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12</v>
      </c>
      <c r="F16" t="s">
        <v>14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12</v>
      </c>
      <c r="F17" t="s">
        <v>15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16</v>
      </c>
      <c r="F18" t="s">
        <v>0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16</v>
      </c>
      <c r="F19" t="s">
        <v>1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16</v>
      </c>
      <c r="F20" t="s">
        <v>2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16</v>
      </c>
      <c r="F21" t="s">
        <v>3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4</v>
      </c>
      <c r="G22" s="2">
        <f ca="1"/>
        <v>7</v>
      </c>
      <c r="H22" s="2">
        <f ca="1"/>
        <v>2</v>
      </c>
      <c r="I22" s="2">
        <f ca="1"/>
        <v>2</v>
      </c>
      <c r="J22" s="2">
        <f ca="1"/>
        <v>0</v>
      </c>
    </row>
    <row r="23" spans="4:10" x14ac:dyDescent="0.25">
      <c r="F23" t="s">
        <v>30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</row>
  </sheetData>
  <mergeCells count="1">
    <mergeCell ref="E3:J3"/>
  </mergeCells>
  <conditionalFormatting sqref="F5:F22">
    <cfRule type="duplicateValues" dxfId="1" priority="2"/>
  </conditionalFormatting>
  <conditionalFormatting sqref="F23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January 2025</vt:lpstr>
      <vt:lpstr>Mapping table_1</vt:lpstr>
      <vt:lpstr>February 2025</vt:lpstr>
      <vt:lpstr>Mapping table_2</vt:lpstr>
      <vt:lpstr>March 2025</vt:lpstr>
      <vt:lpstr>Mapping table_3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Mukesh Ravichandran</dc:creator>
  <cp:lastModifiedBy>Mukesh Ravichandran</cp:lastModifiedBy>
  <cp:lastPrinted>2024-12-19T23:00:49Z</cp:lastPrinted>
  <dcterms:created xsi:type="dcterms:W3CDTF">2024-11-25T20:13:27Z</dcterms:created>
  <dcterms:modified xsi:type="dcterms:W3CDTF">2025-01-24T16:29:31Z</dcterms:modified>
</cp:coreProperties>
</file>